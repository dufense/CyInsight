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ttamkhot/Documents/RL/"/>
    </mc:Choice>
  </mc:AlternateContent>
  <xr:revisionPtr revIDLastSave="0" documentId="13_ncr:1_{E9D5D415-227A-F246-AE9D-9B25363EB80E}" xr6:coauthVersionLast="47" xr6:coauthVersionMax="47" xr10:uidLastSave="{00000000-0000-0000-0000-000000000000}"/>
  <bookViews>
    <workbookView xWindow="0" yWindow="660" windowWidth="19420" windowHeight="9180" activeTab="2" xr2:uid="{F7244892-8F53-40CC-A576-32745BCF010B}"/>
  </bookViews>
  <sheets>
    <sheet name="LINUX Inv" sheetId="1" r:id="rId1"/>
    <sheet name="AIX Inv" sheetId="3" r:id="rId2"/>
    <sheet name="Server-Appliance-Decom" sheetId="2" r:id="rId3"/>
    <sheet name="Pivot" sheetId="5" r:id="rId4"/>
    <sheet name="testing" sheetId="6" r:id="rId5"/>
  </sheets>
  <definedNames>
    <definedName name="_xlnm._FilterDatabase" localSheetId="0" hidden="1">'LINUX Inv'!$A$1:$S$105</definedName>
  </definedNames>
  <calcPr calcId="191028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H3" i="6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H4" i="6" s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2" i="1"/>
  <c r="S103" i="1"/>
  <c r="S104" i="1"/>
  <c r="S105" i="1"/>
  <c r="S2" i="1"/>
  <c r="H5" i="6" s="1"/>
  <c r="H14" i="6"/>
  <c r="H2" i="6"/>
</calcChain>
</file>

<file path=xl/sharedStrings.xml><?xml version="1.0" encoding="utf-8"?>
<sst xmlns="http://schemas.openxmlformats.org/spreadsheetml/2006/main" count="2854" uniqueCount="728">
  <si>
    <t>Name</t>
  </si>
  <si>
    <t>IP ADDRESS</t>
  </si>
  <si>
    <t>OS</t>
  </si>
  <si>
    <t>Patching status</t>
  </si>
  <si>
    <t xml:space="preserve">Migratation status </t>
  </si>
  <si>
    <t>Version</t>
  </si>
  <si>
    <t>Short_Description</t>
  </si>
  <si>
    <t>Owned_By</t>
  </si>
  <si>
    <t>Type</t>
  </si>
  <si>
    <t>Location</t>
  </si>
  <si>
    <t>Used_for</t>
  </si>
  <si>
    <t>Support_group</t>
  </si>
  <si>
    <t>Sys_created_on</t>
  </si>
  <si>
    <t>Sys_updated_on</t>
  </si>
  <si>
    <t>Managed_by</t>
  </si>
  <si>
    <t>Operational_status</t>
  </si>
  <si>
    <t>Monitoring Status</t>
  </si>
  <si>
    <t>Monitoring Tool</t>
  </si>
  <si>
    <t>BICCDMI04</t>
  </si>
  <si>
    <t>10.98.33.201</t>
  </si>
  <si>
    <t>SuSE Linux</t>
  </si>
  <si>
    <t>completed</t>
  </si>
  <si>
    <t>Teradata - Microstrategy</t>
  </si>
  <si>
    <t>Amit shete</t>
  </si>
  <si>
    <t>Onprem</t>
  </si>
  <si>
    <t>GSO</t>
  </si>
  <si>
    <t>Production</t>
  </si>
  <si>
    <t>Enterprise Unix Support</t>
  </si>
  <si>
    <t>Suresh Konduru</t>
  </si>
  <si>
    <t>Operational</t>
  </si>
  <si>
    <t>Yes</t>
  </si>
  <si>
    <t>Solarwind</t>
  </si>
  <si>
    <t xml:space="preserve">rllbkpaut </t>
  </si>
  <si>
    <t>10.98.33.80</t>
  </si>
  <si>
    <t>Red Hat Linux</t>
  </si>
  <si>
    <t xml:space="preserve">completed </t>
  </si>
  <si>
    <t>Avamar Automation</t>
  </si>
  <si>
    <t>David Whittington</t>
  </si>
  <si>
    <t>RLLCSDI1</t>
  </si>
  <si>
    <t>10.98.33.170</t>
  </si>
  <si>
    <t>Planning for upgrade</t>
  </si>
  <si>
    <t>New PO App, SAP application servers</t>
  </si>
  <si>
    <t>Krishna Kiran</t>
  </si>
  <si>
    <t>Development</t>
  </si>
  <si>
    <t>RLLCSPI1</t>
  </si>
  <si>
    <t>10.98.33.172</t>
  </si>
  <si>
    <t>RLLCSPL1</t>
  </si>
  <si>
    <t>10.98.33.214</t>
  </si>
  <si>
    <t>RLLCSQI1</t>
  </si>
  <si>
    <t>10.98.33.171</t>
  </si>
  <si>
    <t>RLLCSSI1</t>
  </si>
  <si>
    <t>10.98.33.182</t>
  </si>
  <si>
    <t>RLLCSSL1</t>
  </si>
  <si>
    <t>10.98.33.213</t>
  </si>
  <si>
    <t>rlld1ace</t>
  </si>
  <si>
    <t>10.98.33.217</t>
  </si>
  <si>
    <t>ESB Environment</t>
  </si>
  <si>
    <t>Saber Mubarak</t>
  </si>
  <si>
    <t>RLLD1DSA ( SAP subscription)</t>
  </si>
  <si>
    <t>10.98.33.186</t>
  </si>
  <si>
    <t>SAP SolMan</t>
  </si>
  <si>
    <t>RLLD1MDB ( SAP subscription)</t>
  </si>
  <si>
    <t>10.98.33.180</t>
  </si>
  <si>
    <t>rlld1mft</t>
  </si>
  <si>
    <t>10.98.33.216</t>
  </si>
  <si>
    <t>rllg1dis/BICCDM03</t>
  </si>
  <si>
    <t>10.98.33.200</t>
  </si>
  <si>
    <t>Teradata/BI ETL QA server</t>
  </si>
  <si>
    <t xml:space="preserve">Amit Shete </t>
  </si>
  <si>
    <t>RLLG2DIS</t>
  </si>
  <si>
    <t>10.98.33.203</t>
  </si>
  <si>
    <t>Teradata</t>
  </si>
  <si>
    <t>rllp1ace</t>
  </si>
  <si>
    <t>10.98.33.52</t>
  </si>
  <si>
    <t>RLLP1ACN</t>
  </si>
  <si>
    <t>10.98.35.216</t>
  </si>
  <si>
    <t>Aspera</t>
  </si>
  <si>
    <t>Sunil kumar Tadikamalla</t>
  </si>
  <si>
    <t>RLLP1ACS</t>
  </si>
  <si>
    <t>10.98.35.215</t>
  </si>
  <si>
    <t>RLLP1ANSI</t>
  </si>
  <si>
    <t>10.98.33.253</t>
  </si>
  <si>
    <t>Unix Server</t>
  </si>
  <si>
    <t>rllp1elk</t>
  </si>
  <si>
    <t>10.98.33.56</t>
  </si>
  <si>
    <t>RLLP1MDB</t>
  </si>
  <si>
    <t>10.98.33.187</t>
  </si>
  <si>
    <t>SAP SolMan/HANA DB</t>
  </si>
  <si>
    <t>rllp1mft</t>
  </si>
  <si>
    <t>10.98.33.47</t>
  </si>
  <si>
    <t>rllp1pfsrfb</t>
  </si>
  <si>
    <t>172.17.41.32</t>
  </si>
  <si>
    <t>Tyco RFID MQTT Broker application</t>
  </si>
  <si>
    <t>Vincent Liew</t>
  </si>
  <si>
    <t>RLLP1PMAX</t>
  </si>
  <si>
    <t>10.98.54.191</t>
  </si>
  <si>
    <t>Power Max Application</t>
  </si>
  <si>
    <t>RLLP1PSA</t>
  </si>
  <si>
    <t>10.98.33.181</t>
  </si>
  <si>
    <t>rllp1vgoapp</t>
  </si>
  <si>
    <t>10.103.40.241</t>
  </si>
  <si>
    <t>Vargo Application</t>
  </si>
  <si>
    <t>Ryan Larkins</t>
  </si>
  <si>
    <t>HPD</t>
  </si>
  <si>
    <t>rllp1vgodb</t>
  </si>
  <si>
    <t>10.103.40.249</t>
  </si>
  <si>
    <t>Vargo DB</t>
  </si>
  <si>
    <t>rllp2ace</t>
  </si>
  <si>
    <t>10.98.33.53</t>
  </si>
  <si>
    <t>rllp2mft</t>
  </si>
  <si>
    <t>10.98.33.48</t>
  </si>
  <si>
    <t>rllp2pfsrfb</t>
  </si>
  <si>
    <t>172.17.41.33</t>
  </si>
  <si>
    <t>RLLP2PMAX</t>
  </si>
  <si>
    <t>10.108.22.51</t>
  </si>
  <si>
    <t>DR- Denvar</t>
  </si>
  <si>
    <t>rllp2vgoapp</t>
  </si>
  <si>
    <t>10.103.40.242</t>
  </si>
  <si>
    <t>rllp2vgodb</t>
  </si>
  <si>
    <t>10.103.40.250</t>
  </si>
  <si>
    <t>rllp3ace</t>
  </si>
  <si>
    <t>10.98.33.54</t>
  </si>
  <si>
    <t>rllp3pfsrfb</t>
  </si>
  <si>
    <t>172.17.41.34</t>
  </si>
  <si>
    <t>rllp3vgoapp</t>
  </si>
  <si>
    <t>10.103.40.243</t>
  </si>
  <si>
    <t>rllp3vgodb</t>
  </si>
  <si>
    <t>10.103.40.251</t>
  </si>
  <si>
    <t>rllp3vgodb-ilo</t>
  </si>
  <si>
    <t>10.103.60.251</t>
  </si>
  <si>
    <t>Vargo DB-iLO</t>
  </si>
  <si>
    <t>Production-iLo</t>
  </si>
  <si>
    <t>No</t>
  </si>
  <si>
    <t>rllp4vgoapp</t>
  </si>
  <si>
    <t>10.103.40.244</t>
  </si>
  <si>
    <t>rllp5vgoapp</t>
  </si>
  <si>
    <t>10.103.40.245</t>
  </si>
  <si>
    <t>rllp6vgoapp</t>
  </si>
  <si>
    <t>10.103.40.246</t>
  </si>
  <si>
    <t>rllp7vgoapp</t>
  </si>
  <si>
    <t>10.103.40.247</t>
  </si>
  <si>
    <t>rllp8vgoapp</t>
  </si>
  <si>
    <t>10.103.40.248</t>
  </si>
  <si>
    <t>rllprfr1</t>
  </si>
  <si>
    <t>172.17.41.45</t>
  </si>
  <si>
    <t xml:space="preserve">Infosys Dashboard Tool for RL PFS FOHTY </t>
  </si>
  <si>
    <t>rllq1ace</t>
  </si>
  <si>
    <t>10.98.33.49</t>
  </si>
  <si>
    <t>QA</t>
  </si>
  <si>
    <t>rllq1elk</t>
  </si>
  <si>
    <t>10.98.33.55</t>
  </si>
  <si>
    <t>rllq1mft </t>
  </si>
  <si>
    <t>10.98.33.45</t>
  </si>
  <si>
    <t xml:space="preserve">rllq1orr </t>
  </si>
  <si>
    <t>10.98.33.184</t>
  </si>
  <si>
    <t>rman catalog</t>
  </si>
  <si>
    <t>rllq2ace</t>
  </si>
  <si>
    <t>10.98.33.50</t>
  </si>
  <si>
    <t>rllq2mft</t>
  </si>
  <si>
    <t>10.98.33.46</t>
  </si>
  <si>
    <t>rllq3ace</t>
  </si>
  <si>
    <t>10.98.33.51</t>
  </si>
  <si>
    <t>rllqrfr1</t>
  </si>
  <si>
    <t>172.17.41.40</t>
  </si>
  <si>
    <t>rlls1mds</t>
  </si>
  <si>
    <t>10.98.33.229</t>
  </si>
  <si>
    <t>Storage MDS backup</t>
  </si>
  <si>
    <t>rlls1unix</t>
  </si>
  <si>
    <t>10.98.33.225</t>
  </si>
  <si>
    <t>Patch Testing</t>
  </si>
  <si>
    <t>Test</t>
  </si>
  <si>
    <t>rlls1vgoapp</t>
  </si>
  <si>
    <t>10.103.40.252</t>
  </si>
  <si>
    <t>Vargo Test</t>
  </si>
  <si>
    <t>rllt1tst</t>
  </si>
  <si>
    <t>10.98.33.221</t>
  </si>
  <si>
    <t>RLLT2TST</t>
  </si>
  <si>
    <t>10.98.33.222</t>
  </si>
  <si>
    <t>RLLT3TST</t>
  </si>
  <si>
    <t>10.98.33.223</t>
  </si>
  <si>
    <t>rllvargo</t>
  </si>
  <si>
    <t>10.98.33.192</t>
  </si>
  <si>
    <t>Vargo Test virtual server</t>
  </si>
  <si>
    <t>rllvxpi1</t>
  </si>
  <si>
    <t>10.98.33.117</t>
  </si>
  <si>
    <t>rllvxqi1</t>
  </si>
  <si>
    <t>10.98.33.116</t>
  </si>
  <si>
    <t>usazpdlfwbk1v</t>
  </si>
  <si>
    <t>10.201.11.29</t>
  </si>
  <si>
    <t>Swimlane application</t>
  </si>
  <si>
    <t>Andreas Cortes</t>
  </si>
  <si>
    <t>Azure</t>
  </si>
  <si>
    <t>EAST US</t>
  </si>
  <si>
    <t>rllp1gtm</t>
  </si>
  <si>
    <t>10.98.33.133</t>
  </si>
  <si>
    <t>GTM (Mongo DB)</t>
  </si>
  <si>
    <t>RLLP3CICD</t>
  </si>
  <si>
    <t>10.203.10.70</t>
  </si>
  <si>
    <t>DevOps CICO</t>
  </si>
  <si>
    <t>RLLP4CICD</t>
  </si>
  <si>
    <t>10.203.10.71</t>
  </si>
  <si>
    <t>Rlld1oms</t>
  </si>
  <si>
    <t>10.98.33.189</t>
  </si>
  <si>
    <t>OMS</t>
  </si>
  <si>
    <t>Jayakumar s, Bhavya R</t>
  </si>
  <si>
    <t>rllq1mq</t>
  </si>
  <si>
    <t>10.98.42.73</t>
  </si>
  <si>
    <t>MQ</t>
  </si>
  <si>
    <t>rllq2mq</t>
  </si>
  <si>
    <t>10.98.42.74</t>
  </si>
  <si>
    <t>rllq3mq</t>
  </si>
  <si>
    <t>10.98.42.75</t>
  </si>
  <si>
    <t>rllp1mq</t>
  </si>
  <si>
    <t>10.98.42.70</t>
  </si>
  <si>
    <t>rllp2mq</t>
  </si>
  <si>
    <t>10.98.42.71</t>
  </si>
  <si>
    <t>rllp3mq</t>
  </si>
  <si>
    <t>10.98.42.72</t>
  </si>
  <si>
    <t>rllazdevoms</t>
  </si>
  <si>
    <t>10.203.13.198</t>
  </si>
  <si>
    <t>rllazd1oms</t>
  </si>
  <si>
    <t xml:space="preserve">10.203.13.196 </t>
  </si>
  <si>
    <t xml:space="preserve">OMS </t>
  </si>
  <si>
    <t>rllazdprodops</t>
  </si>
  <si>
    <t>10.202.7.36</t>
  </si>
  <si>
    <t>Prod-ops</t>
  </si>
  <si>
    <t>Rakesh Gadi</t>
  </si>
  <si>
    <t>RLLAZAPD1MFT/RLLAZD1MFT</t>
  </si>
  <si>
    <t>10.196.6.4</t>
  </si>
  <si>
    <t>MFT-DEV-APAC</t>
  </si>
  <si>
    <t>WEST EU</t>
  </si>
  <si>
    <t>RLLAZAPQ1MFT</t>
  </si>
  <si>
    <t>10.196.6.68</t>
  </si>
  <si>
    <t>MFT-QA-APAC</t>
  </si>
  <si>
    <t>RLLAZAPQ2MFT</t>
  </si>
  <si>
    <t>10.196.6.69</t>
  </si>
  <si>
    <t>RLLAZAPP1MFT</t>
  </si>
  <si>
    <t>10.196.6.132</t>
  </si>
  <si>
    <t>MFT-Prod-APAC</t>
  </si>
  <si>
    <t>RLLAZAPP2MFT</t>
  </si>
  <si>
    <t>10.196.6.133</t>
  </si>
  <si>
    <t>RLLAZP1CERT</t>
  </si>
  <si>
    <t>10.203.7.148</t>
  </si>
  <si>
    <t>CERT/Nginx Reverse Proxy</t>
  </si>
  <si>
    <t>Andreas Cortes/Parikshit</t>
  </si>
  <si>
    <t>RLLAZP2CERT</t>
  </si>
  <si>
    <t>10.209.4.52</t>
  </si>
  <si>
    <t>RllASAZDVMAWMS01</t>
  </si>
  <si>
    <t>10.204.63.20</t>
  </si>
  <si>
    <t>Manhattan-active-wms</t>
  </si>
  <si>
    <t>dominic leung</t>
  </si>
  <si>
    <t>EAST ASIA</t>
  </si>
  <si>
    <t>rllp4pfsrfb</t>
  </si>
  <si>
    <t>10.203.10.106</t>
  </si>
  <si>
    <t>Trvevue</t>
  </si>
  <si>
    <t xml:space="preserve">RLLASAZDVJPLUXWEB </t>
  </si>
  <si>
    <t>10.204.63.4</t>
  </si>
  <si>
    <t>Japan LUX Trunk</t>
  </si>
  <si>
    <t xml:space="preserve">Hatano, Manabu </t>
  </si>
  <si>
    <t xml:space="preserve">RLLASAZDVJPLUXDB </t>
  </si>
  <si>
    <t>10.204.63.5</t>
  </si>
  <si>
    <t>RLLAZEUD1MFT</t>
  </si>
  <si>
    <t>10.196.14.4</t>
  </si>
  <si>
    <t>MFT-DEV-EMEA</t>
  </si>
  <si>
    <t>RLLUSAZSIEMPROXY</t>
  </si>
  <si>
    <t>10.201.11.21</t>
  </si>
  <si>
    <t>SIEMPROXY</t>
  </si>
  <si>
    <t>RLLAZEUQ1MFT</t>
  </si>
  <si>
    <t>10.196.14.68</t>
  </si>
  <si>
    <t>MFT-QA-EMEA</t>
  </si>
  <si>
    <t>RLLAZEUQ2MFT</t>
  </si>
  <si>
    <t>10.196.14.69</t>
  </si>
  <si>
    <t>RllASAZPDMAWMS01</t>
  </si>
  <si>
    <t>10.205.250.132</t>
  </si>
  <si>
    <t>Dominic leung</t>
  </si>
  <si>
    <t>RLLAZEUP1MFT</t>
  </si>
  <si>
    <t>10.196.14.132</t>
  </si>
  <si>
    <t>MFT-PROD-EMEA</t>
  </si>
  <si>
    <t>RLLAZEUP2MFT</t>
  </si>
  <si>
    <t>10.196.14.133</t>
  </si>
  <si>
    <t>rllp1vectra</t>
  </si>
  <si>
    <t>10.98.33.20</t>
  </si>
  <si>
    <t>Vectra Syslog</t>
  </si>
  <si>
    <t>GSO-NC</t>
  </si>
  <si>
    <t>RLLAZUSR7APP</t>
  </si>
  <si>
    <t>10.201.11.41</t>
  </si>
  <si>
    <t>Rapid7 - app</t>
  </si>
  <si>
    <t>rllp1ovf</t>
  </si>
  <si>
    <t>10.98.33.132</t>
  </si>
  <si>
    <t>Upgrade completed</t>
  </si>
  <si>
    <t>ItemSense</t>
  </si>
  <si>
    <t>Michale Guzman</t>
  </si>
  <si>
    <t>RLLAZUSQTOMCAT</t>
  </si>
  <si>
    <t>10.203.13.199</t>
  </si>
  <si>
    <t>OMS - TOMCAT</t>
  </si>
  <si>
    <t>Supradeep Shashidhar</t>
  </si>
  <si>
    <t>RLLAZDEVSFCC</t>
  </si>
  <si>
    <t>10.203.13.201</t>
  </si>
  <si>
    <t>OMS - SFCC</t>
  </si>
  <si>
    <t>Bhavya R</t>
  </si>
  <si>
    <t>RLLAZNAD1MFT</t>
  </si>
  <si>
    <t>10.196.22.4</t>
  </si>
  <si>
    <t>Ansible + SonarQube + Jfrog + Git + Jenkins + ANT</t>
  </si>
  <si>
    <t>RLLAZUSQ1VSA</t>
  </si>
  <si>
    <t>10.202.7.196</t>
  </si>
  <si>
    <t>Parikshit</t>
  </si>
  <si>
    <t>RLLAZNAQ1MFT</t>
  </si>
  <si>
    <t>10.196.22.68</t>
  </si>
  <si>
    <t>ESB</t>
  </si>
  <si>
    <t>fv</t>
  </si>
  <si>
    <t>RLLAZNAQ2MFT</t>
  </si>
  <si>
    <t>10.196.22.69</t>
  </si>
  <si>
    <t>RLLAZQAUSQERP</t>
  </si>
  <si>
    <t>10.203.13.202</t>
  </si>
  <si>
    <t>Report Portal</t>
  </si>
  <si>
    <t>Shivagiri K</t>
  </si>
  <si>
    <t xml:space="preserve">RLLAZNAP2MFT </t>
  </si>
  <si>
    <t>10.196.22.133</t>
  </si>
  <si>
    <t>Prod</t>
  </si>
  <si>
    <t>RLLAZNAP1MFT</t>
  </si>
  <si>
    <t xml:space="preserve">10.196.22.132 </t>
  </si>
  <si>
    <t>usncpdcodpipt</t>
  </si>
  <si>
    <t>172.16.72.65</t>
  </si>
  <si>
    <t>usncqacodp2v</t>
  </si>
  <si>
    <t>172.16.76.45</t>
  </si>
  <si>
    <t>rllp1vgoapp-ilo</t>
  </si>
  <si>
    <t>10.103.60.241</t>
  </si>
  <si>
    <t>ILO</t>
  </si>
  <si>
    <t>Vargo Application-iLO</t>
  </si>
  <si>
    <t>rllp8vgoapp-ilo</t>
  </si>
  <si>
    <t>10.103.60.248</t>
  </si>
  <si>
    <t>rllp7vgoapp-ilo</t>
  </si>
  <si>
    <t>10.103.60.247</t>
  </si>
  <si>
    <t>rllp6vgoapp-ilo</t>
  </si>
  <si>
    <t>10.103.60.246</t>
  </si>
  <si>
    <t>rlls1vgoapp-ilo</t>
  </si>
  <si>
    <t>10.103.60.252</t>
  </si>
  <si>
    <t>Vargo Test-iLO</t>
  </si>
  <si>
    <t>Test-iLo</t>
  </si>
  <si>
    <t>rllp5vgoapp-ilo</t>
  </si>
  <si>
    <t>10.103.60.245</t>
  </si>
  <si>
    <t>rllp4vgoapp-ilo</t>
  </si>
  <si>
    <t>10.103.60.244</t>
  </si>
  <si>
    <t>rllp3vgoapp-ilo</t>
  </si>
  <si>
    <t>10.103.60.243</t>
  </si>
  <si>
    <t>rllp2vgodb-ilo</t>
  </si>
  <si>
    <t>10.103.60.250</t>
  </si>
  <si>
    <t>rllp2vgoapp-ilo</t>
  </si>
  <si>
    <t>10.103.60.242</t>
  </si>
  <si>
    <t>rllp1vgodb-ilo</t>
  </si>
  <si>
    <t>10.103.60.249</t>
  </si>
  <si>
    <t>HMC</t>
  </si>
  <si>
    <t>Frame</t>
  </si>
  <si>
    <t>Server_Name</t>
  </si>
  <si>
    <t>Status</t>
  </si>
  <si>
    <t>Ip address</t>
  </si>
  <si>
    <t>Used for</t>
  </si>
  <si>
    <t>Application</t>
  </si>
  <si>
    <t>Application Owner</t>
  </si>
  <si>
    <t>Application DL</t>
  </si>
  <si>
    <t xml:space="preserve">Comments </t>
  </si>
  <si>
    <t>hmcp9a-10.98.32.141
hmcp9b-10.98.32.143</t>
  </si>
  <si>
    <t>E950-01-9040-MR9-SN78ECCEX</t>
  </si>
  <si>
    <t xml:space="preserve">RLAG8VS1 </t>
  </si>
  <si>
    <t>Running</t>
  </si>
  <si>
    <t>VIOS</t>
  </si>
  <si>
    <t>3.1.4.21</t>
  </si>
  <si>
    <t>10.98.35.204</t>
  </si>
  <si>
    <t>VIO</t>
  </si>
  <si>
    <t>Virtualization</t>
  </si>
  <si>
    <t>US-UDG-SYS-UNIX-Admins</t>
  </si>
  <si>
    <t> </t>
  </si>
  <si>
    <t xml:space="preserve">RLAG8VS2 </t>
  </si>
  <si>
    <t>10.98.35.205</t>
  </si>
  <si>
    <t xml:space="preserve">RLAD1JEP </t>
  </si>
  <si>
    <t>AIX</t>
  </si>
  <si>
    <t>7200-05-09-2446</t>
  </si>
  <si>
    <t>10.98.35.106</t>
  </si>
  <si>
    <t>DEV</t>
  </si>
  <si>
    <t>Enterprise Planning</t>
  </si>
  <si>
    <t>Mullassaril, Thomas</t>
  </si>
  <si>
    <t>DL-DEPT-IT-GPA-EP,DL-DEPT-IT-GPA-EPTECH</t>
  </si>
  <si>
    <t xml:space="preserve">RLAD2JEP </t>
  </si>
  <si>
    <t>10.98.35.129</t>
  </si>
  <si>
    <t xml:space="preserve">RLAD1GBI </t>
  </si>
  <si>
    <t>10.98.35.125</t>
  </si>
  <si>
    <t>Microstrategy &amp; Crystal Reports</t>
  </si>
  <si>
    <t xml:space="preserve">Sasidharan, Suku; Reis, Walter; Gullapalli, Praveen </t>
  </si>
  <si>
    <t>DL-DEPT-IT-BICC-EIA</t>
  </si>
  <si>
    <t xml:space="preserve">RLAP1DBH </t>
  </si>
  <si>
    <t>10.98.35.53</t>
  </si>
  <si>
    <t>PROD</t>
  </si>
  <si>
    <t>JDA Allocation</t>
  </si>
  <si>
    <t>Vite, Cecilia; Poulose, Roshini</t>
  </si>
  <si>
    <t>DL-DEPT-IT-GPA-ALLOC,DL-DEPT-IT-GPA-ALLOCTECH,DL-DEPT-IT-BICC-DMI</t>
  </si>
  <si>
    <t xml:space="preserve">RLAP1GBI </t>
  </si>
  <si>
    <t>10.98.35.120</t>
  </si>
  <si>
    <t xml:space="preserve">RLAP1GCM </t>
  </si>
  <si>
    <t>10.98.35.122</t>
  </si>
  <si>
    <t>Reconnect</t>
  </si>
  <si>
    <t>Liew, Vincent</t>
  </si>
  <si>
    <t>Liew, Vincent (US) &lt;Vincent.Liew@RalphLauren.com&gt;</t>
  </si>
  <si>
    <t xml:space="preserve">RLAP1JEP </t>
  </si>
  <si>
    <t>10.98.35.134</t>
  </si>
  <si>
    <t xml:space="preserve">RLAP1LGY </t>
  </si>
  <si>
    <t>10.98.35.149</t>
  </si>
  <si>
    <t xml:space="preserve">Logility </t>
  </si>
  <si>
    <t>DL-DEPT-IT-GPA-LOGILITY</t>
  </si>
  <si>
    <t xml:space="preserve">RLAP1ORR </t>
  </si>
  <si>
    <t>10.98.35.119</t>
  </si>
  <si>
    <t>RMAN catalog</t>
  </si>
  <si>
    <t>DBA Team</t>
  </si>
  <si>
    <t>DL-DEPT-IT-Database-Support, DL-DEPT-IT-BICC-DSE</t>
  </si>
  <si>
    <t>RLAP1PLM</t>
  </si>
  <si>
    <t>10.98.35.99</t>
  </si>
  <si>
    <t>PLM</t>
  </si>
  <si>
    <t>Patil, Leena; Dattatraya; Sandeep Nakkarike</t>
  </si>
  <si>
    <t>DL-GROUP-PLM-Technical-Group</t>
  </si>
  <si>
    <t xml:space="preserve">RLAP1WPM </t>
  </si>
  <si>
    <t>10.98.35.130</t>
  </si>
  <si>
    <t>WEBPDM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</si>
  <si>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</si>
  <si>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</si>
  <si>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</si>
  <si>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</si>
  <si>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</si>
  <si>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</si>
  <si>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</si>
  <si>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</si>
  <si>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</si>
  <si>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</si>
  <si>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</si>
  <si>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</si>
  <si>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</si>
  <si>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</si>
  <si>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</si>
  <si>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</si>
  <si>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</si>
  <si>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</si>
  <si>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</si>
  <si>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</si>
  <si>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</si>
  <si>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>10.98.35.144</t>
  </si>
  <si>
    <t xml:space="preserve">RFID Reporting Application, Xcenter </t>
  </si>
  <si>
    <t>Liew, Vincent; Teji, Paramdeep</t>
  </si>
  <si>
    <t xml:space="preserve">RLAS1PLM </t>
  </si>
  <si>
    <t>10.98.35.96</t>
  </si>
  <si>
    <t>rlap2mqs</t>
  </si>
  <si>
    <t>10.98.35.37</t>
  </si>
  <si>
    <t>MQ Messaging</t>
  </si>
  <si>
    <t>Saber,Mubarak; Gurajala, Madhusudhan</t>
  </si>
  <si>
    <t>DL-Group-IT-ESB-Middleware-Support</t>
  </si>
  <si>
    <t>Cluster</t>
  </si>
  <si>
    <t>rlaq2mqs</t>
  </si>
  <si>
    <t>10.98.35.39</t>
  </si>
  <si>
    <t>S924-01-9009-42G-SN78E5EC0</t>
  </si>
  <si>
    <t>RLAG7VS1</t>
  </si>
  <si>
    <t>10.98.35.198</t>
  </si>
  <si>
    <t>RLAG7VS2</t>
  </si>
  <si>
    <t>10.98.35.199</t>
  </si>
  <si>
    <t>RLAP1NIM</t>
  </si>
  <si>
    <t>10.98.35.50</t>
  </si>
  <si>
    <t>NIM Server</t>
  </si>
  <si>
    <t>NIM</t>
  </si>
  <si>
    <t>RLAS1ADM</t>
  </si>
  <si>
    <t>10.98.35.41</t>
  </si>
  <si>
    <t>SANDBOX</t>
  </si>
  <si>
    <t>UNIX Testing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</si>
  <si>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</si>
  <si>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</si>
  <si>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</si>
  <si>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</si>
  <si>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</si>
  <si>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</si>
  <si>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</si>
  <si>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</si>
  <si>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>hmcdcx01-10.108.32.91</t>
  </si>
  <si>
    <t>8286-42A-SN217473V</t>
  </si>
  <si>
    <t>rlag9vs1</t>
  </si>
  <si>
    <t>VIOS-DR</t>
  </si>
  <si>
    <t>10.108.35.11</t>
  </si>
  <si>
    <t>rlag9vs2</t>
  </si>
  <si>
    <t>10.108.35.12</t>
  </si>
  <si>
    <t>rlap1dbh_dr</t>
  </si>
  <si>
    <t>AIX-DR</t>
  </si>
  <si>
    <t>7200-05-06-2320</t>
  </si>
  <si>
    <t>rlap1edm_dr</t>
  </si>
  <si>
    <t>10.98.35.121</t>
  </si>
  <si>
    <t>Informatica Metadata EDM/ETL</t>
  </si>
  <si>
    <t>Deshpande, Kalyan</t>
  </si>
  <si>
    <t>DL-DEPT-IT-BICC-DMI</t>
  </si>
  <si>
    <t>rlap1gbi_dr</t>
  </si>
  <si>
    <t>rlap1gcm_dr</t>
  </si>
  <si>
    <t>rlap1lgy_dr</t>
  </si>
  <si>
    <t>rlap1mqs_dr</t>
  </si>
  <si>
    <t>10.98.35.46</t>
  </si>
  <si>
    <t>rlap1plm_dr</t>
  </si>
  <si>
    <t>rlap1wpm_dr</t>
  </si>
  <si>
    <t>rlap2nim</t>
  </si>
  <si>
    <t>7200-05-07-2346</t>
  </si>
  <si>
    <t>10.108.35.20/10.98.35.155</t>
  </si>
  <si>
    <t>rlad2lgy_dr</t>
  </si>
  <si>
    <t>10.108.35.238, 10.98.35.238</t>
  </si>
  <si>
    <t xml:space="preserve">Test Server - Logility </t>
  </si>
  <si>
    <t>DL-DEPT-IT-Database-Support &lt;RL-DBA@RalphLauren.com&gt;</t>
  </si>
  <si>
    <t>10.98.32.61   10.98.33.61</t>
  </si>
  <si>
    <t> C3PO-9080-HEX-SN78B13C8</t>
  </si>
  <si>
    <t>RLAGEVS1</t>
  </si>
  <si>
    <t>iSeries-VIOS</t>
  </si>
  <si>
    <t>4.1.0.21</t>
  </si>
  <si>
    <t>10.98.32.31</t>
  </si>
  <si>
    <t>RLAGEVS2</t>
  </si>
  <si>
    <t>10.98.32.32</t>
  </si>
  <si>
    <t>DARYL-9105-42A-78A7341</t>
  </si>
  <si>
    <t>RLAGFVS1</t>
  </si>
  <si>
    <t>10.98.32.33</t>
  </si>
  <si>
    <t>RLAGFVS2</t>
  </si>
  <si>
    <t>10.98.32.34</t>
  </si>
  <si>
    <t>ELLE-9105-42A-78A7361</t>
  </si>
  <si>
    <t>RLAGGVS1</t>
  </si>
  <si>
    <t>10.98.32.35</t>
  </si>
  <si>
    <t>RLAGGVS2</t>
  </si>
  <si>
    <t>10.98.32.36</t>
  </si>
  <si>
    <t>hmcdcx01-10.108.32.12</t>
  </si>
  <si>
    <t>RLAG10VS1</t>
  </si>
  <si>
    <t>iSeries-VIOS-DR</t>
  </si>
  <si>
    <t>10.108.35.17</t>
  </si>
  <si>
    <t>RLAG10VS2</t>
  </si>
  <si>
    <t>10.108.35.18</t>
  </si>
  <si>
    <t>PowerHA Server Details</t>
  </si>
  <si>
    <t>Host Name</t>
  </si>
  <si>
    <t>IP Adddress</t>
  </si>
  <si>
    <t>OS Version</t>
  </si>
  <si>
    <t>PowerHA Version</t>
  </si>
  <si>
    <t>VIO Version</t>
  </si>
  <si>
    <t>Frame2</t>
  </si>
  <si>
    <t>7200-04-02-2028</t>
  </si>
  <si>
    <t>7.2.4 SP1</t>
  </si>
  <si>
    <t>Active</t>
  </si>
  <si>
    <t>RLAG8VS1   RLAG8VS2</t>
  </si>
  <si>
    <t>Frame1</t>
  </si>
  <si>
    <t>Passive</t>
  </si>
  <si>
    <t>RLAG7VS1  RLAG7VS2</t>
  </si>
  <si>
    <t xml:space="preserve">LINUX-Appliances </t>
  </si>
  <si>
    <t>USNCPDWBSDP2V</t>
  </si>
  <si>
    <t>172.17.36.34</t>
  </si>
  <si>
    <t>usncqartdp1v.poloralphlauren.com</t>
  </si>
  <si>
    <t>RLLDAPICDP</t>
  </si>
  <si>
    <t>USNCPDWBSDP1v</t>
  </si>
  <si>
    <t>172.16.76.42</t>
  </si>
  <si>
    <t>usncqacodp1v.poloralphlauren.com</t>
  </si>
  <si>
    <t>rllp1dpco</t>
  </si>
  <si>
    <t>172.16.72.60</t>
  </si>
  <si>
    <t>rllp2dpco</t>
  </si>
  <si>
    <t>172.16.72.62</t>
  </si>
  <si>
    <t>rllp1dprt</t>
  </si>
  <si>
    <t> 172.17.36.50</t>
  </si>
  <si>
    <t>rllp2dprt</t>
  </si>
  <si>
    <t> 172.17.36.51</t>
  </si>
  <si>
    <t>Decommissioned servers list -LINUX</t>
  </si>
  <si>
    <t xml:space="preserve">Decommisison date </t>
  </si>
  <si>
    <t xml:space="preserve">Change number </t>
  </si>
  <si>
    <t>PRL-SAPD1-HN</t>
  </si>
  <si>
    <t>10.98.37.103</t>
  </si>
  <si>
    <t xml:space="preserve">Decommissioned </t>
  </si>
  <si>
    <t>hana application</t>
  </si>
  <si>
    <t>Kartik Joshi</t>
  </si>
  <si>
    <t>DEV, QA</t>
  </si>
  <si>
    <t>Elaiyaraja Thangarasu</t>
  </si>
  <si>
    <t>CHG0093494</t>
  </si>
  <si>
    <t>PRL-SAPD2-HN</t>
  </si>
  <si>
    <t>10.98.37.105</t>
  </si>
  <si>
    <t>Pramod Janagama/Moore, Kate</t>
  </si>
  <si>
    <t>PRL-SAPQ2-HN</t>
  </si>
  <si>
    <t>10.98.37.107</t>
  </si>
  <si>
    <t>PRL-SAPS1-HN</t>
  </si>
  <si>
    <t>10.98.37.101</t>
  </si>
  <si>
    <t>gisp1lnx</t>
  </si>
  <si>
    <t>10.98.33.41</t>
  </si>
  <si>
    <t>Internal server</t>
  </si>
  <si>
    <t>CHG0090637</t>
  </si>
  <si>
    <t>RLLQ1UPT</t>
  </si>
  <si>
    <t>10.98.33.190</t>
  </si>
  <si>
    <t>User Performance Testing</t>
  </si>
  <si>
    <t>Dale Phillips</t>
  </si>
  <si>
    <t>CHG0093851</t>
  </si>
  <si>
    <t>RLLT1PAM</t>
  </si>
  <si>
    <t>10.98.35.160</t>
  </si>
  <si>
    <t>6.10 (Santiago)</t>
  </si>
  <si>
    <t>Access Mgmt</t>
  </si>
  <si>
    <t>CHG0093852</t>
  </si>
  <si>
    <t>RLLP1AMC</t>
  </si>
  <si>
    <t>10.98.42.89</t>
  </si>
  <si>
    <t>ArcSight Management Server</t>
  </si>
  <si>
    <t>CHG0093850</t>
  </si>
  <si>
    <t>RLLP1ZBX</t>
  </si>
  <si>
    <t>10.98.42.90</t>
  </si>
  <si>
    <t>Zabbix</t>
  </si>
  <si>
    <t>RLLD1ZBX</t>
  </si>
  <si>
    <t>10.98.42.220</t>
  </si>
  <si>
    <t>RLLP1JRA</t>
  </si>
  <si>
    <t>10.98.35.213</t>
  </si>
  <si>
    <t>Jira</t>
  </si>
  <si>
    <t>Kate Moore</t>
  </si>
  <si>
    <t>CHG0094439</t>
  </si>
  <si>
    <t>rllr7con</t>
  </si>
  <si>
    <t>10.98.57.29</t>
  </si>
  <si>
    <t>R7 Console</t>
  </si>
  <si>
    <t>William Ng</t>
  </si>
  <si>
    <t>RLLP1APS</t>
  </si>
  <si>
    <t>172.16.72.32</t>
  </si>
  <si>
    <t>CHG0096595</t>
  </si>
  <si>
    <t xml:space="preserve">rllusazfpdlp </t>
  </si>
  <si>
    <t xml:space="preserve">Force point </t>
  </si>
  <si>
    <t>RLLP1CICD</t>
  </si>
  <si>
    <t>10.203.10.68</t>
  </si>
  <si>
    <t xml:space="preserve">Krishna kalle Palli </t>
  </si>
  <si>
    <t>GSo</t>
  </si>
  <si>
    <t>RLLP2CICD</t>
  </si>
  <si>
    <t>10.203.10.69</t>
  </si>
  <si>
    <t>rllazdoccasb</t>
  </si>
  <si>
    <t>10.201.11.4</t>
  </si>
  <si>
    <t>CASB (Cloud Access Security Broker)</t>
  </si>
  <si>
    <t>AZURE</t>
  </si>
  <si>
    <t>usazpdlsmln1</t>
  </si>
  <si>
    <t>10.201.11.20</t>
  </si>
  <si>
    <t>usazpdlsmln2</t>
  </si>
  <si>
    <t>usazpdlsmln3</t>
  </si>
  <si>
    <t>10.201.11.22</t>
  </si>
  <si>
    <t>usazpdlsmln4</t>
  </si>
  <si>
    <t>10.201.11.28</t>
  </si>
  <si>
    <t>rllipfog</t>
  </si>
  <si>
    <t>10.98.33.215</t>
  </si>
  <si>
    <t xml:space="preserve">Foglogic </t>
  </si>
  <si>
    <t>rllg3dis</t>
  </si>
  <si>
    <t>10.98.33.204</t>
  </si>
  <si>
    <t xml:space="preserve">Nandakumar karthik </t>
  </si>
  <si>
    <t xml:space="preserve">Ubuntu Machines </t>
  </si>
  <si>
    <t>10.205.2.4</t>
  </si>
  <si>
    <t>Ubuntu</t>
  </si>
  <si>
    <t xml:space="preserve">LINUX Team will not support </t>
  </si>
  <si>
    <t>Chronicle Forwarders</t>
  </si>
  <si>
    <t>Danny Dissalvo/Singh, Manjit</t>
  </si>
  <si>
    <t>RLLASAZCYCLOPS1</t>
  </si>
  <si>
    <t>10.209.4.4</t>
  </si>
  <si>
    <t>RLLEUAZCYCLOPS1</t>
  </si>
  <si>
    <t>10.203.7.4</t>
  </si>
  <si>
    <t>RLLUSAZCYCLOPS1</t>
  </si>
  <si>
    <t>10.203.11.11</t>
  </si>
  <si>
    <t>Linux (centos 7.9.2009)</t>
  </si>
  <si>
    <t>USAZPDCENOM08</t>
  </si>
  <si>
    <t xml:space="preserve">USAZPDCENOMS02 to 21 </t>
  </si>
  <si>
    <t xml:space="preserve">Security Servers </t>
  </si>
  <si>
    <t xml:space="preserve">Security server </t>
  </si>
  <si>
    <t>Ubuntu machines -2024</t>
  </si>
  <si>
    <t>10.205.49.36</t>
  </si>
  <si>
    <t>Xcentr-automation</t>
  </si>
  <si>
    <t>Rocky lau</t>
  </si>
  <si>
    <t>Azure,APAC</t>
  </si>
  <si>
    <t>ASAZPDRTCICD1v</t>
  </si>
  <si>
    <t>10.202.13.180</t>
  </si>
  <si>
    <t>Azure-automation</t>
  </si>
  <si>
    <t>Rajaram Gopu</t>
  </si>
  <si>
    <t>Azure , EAST US</t>
  </si>
  <si>
    <t>rllaznpauto</t>
  </si>
  <si>
    <t>Decommissioned servers list 2025</t>
  </si>
  <si>
    <t>RLLCSDI2</t>
  </si>
  <si>
    <t>10.98.33.175</t>
  </si>
  <si>
    <t>RHEL 7.9</t>
  </si>
  <si>
    <t>Chimakurthy, Krishna Kiran</t>
  </si>
  <si>
    <t>CHG0106657</t>
  </si>
  <si>
    <t>RLLCSQI2</t>
  </si>
  <si>
    <t>10.98.33.173</t>
  </si>
  <si>
    <t>CHG0106658</t>
  </si>
  <si>
    <t>rlld1sdi</t>
  </si>
  <si>
    <t>10.98.33.72</t>
  </si>
  <si>
    <t>SDI Agent(Smart Data Integration)</t>
  </si>
  <si>
    <t>Vineet Agarwal</t>
  </si>
  <si>
    <t>CHG0106755</t>
  </si>
  <si>
    <t>rllp1sdi</t>
  </si>
  <si>
    <t>10.98.33.75</t>
  </si>
  <si>
    <t>CHG0106754</t>
  </si>
  <si>
    <t>rllq1sdi(RHEL for SAP HANA)</t>
  </si>
  <si>
    <t>10.98.33.74</t>
  </si>
  <si>
    <t>CHG0106753</t>
  </si>
  <si>
    <t>RLLP2VRT</t>
  </si>
  <si>
    <t>10.98.33.246</t>
  </si>
  <si>
    <t>Planning for decom</t>
  </si>
  <si>
    <t>Virt-Who Server (Red Hat Licensing)</t>
  </si>
  <si>
    <t>RLLP1VRT</t>
  </si>
  <si>
    <t>10.98.33.245</t>
  </si>
  <si>
    <t>RLLCSHI1</t>
  </si>
  <si>
    <t>10.108.22.16</t>
  </si>
  <si>
    <t>Plannig for decom</t>
  </si>
  <si>
    <t xml:space="preserve">AIX Decom </t>
  </si>
  <si>
    <t xml:space="preserve">RLAQ1EDM </t>
  </si>
  <si>
    <t>10.98.35.116</t>
  </si>
  <si>
    <t xml:space="preserve">RLAP1EDM </t>
  </si>
  <si>
    <t xml:space="preserve">RLAD1DBH </t>
  </si>
  <si>
    <t>10.98.35.56</t>
  </si>
  <si>
    <t>Grand Total</t>
  </si>
  <si>
    <t>Count of OS</t>
  </si>
  <si>
    <t>Column Labels</t>
  </si>
  <si>
    <t>(blank)</t>
  </si>
  <si>
    <t>Vendors</t>
  </si>
  <si>
    <t>Product Name</t>
  </si>
  <si>
    <t>EOS Version</t>
  </si>
  <si>
    <t>EOS Date</t>
  </si>
  <si>
    <t>Extended EOS Date</t>
  </si>
  <si>
    <t>EOL Date</t>
  </si>
  <si>
    <t>Next Renewal Date</t>
  </si>
  <si>
    <t>Servers count</t>
  </si>
  <si>
    <t>Renewal  contact</t>
  </si>
  <si>
    <t>Redhat</t>
  </si>
  <si>
    <t>RHEL</t>
  </si>
  <si>
    <t>AUG 31  2026</t>
  </si>
  <si>
    <t>CDW</t>
  </si>
  <si>
    <t>Suse</t>
  </si>
  <si>
    <t>To be determined</t>
  </si>
  <si>
    <t>Dec 31  2025</t>
  </si>
  <si>
    <t>Insight</t>
  </si>
  <si>
    <t>IBM</t>
  </si>
  <si>
    <t>7.2 TL-09</t>
  </si>
  <si>
    <t>Dynamics</t>
  </si>
  <si>
    <t>Power 9</t>
  </si>
  <si>
    <t>Power 8</t>
  </si>
  <si>
    <t>Dec 31 2025</t>
  </si>
  <si>
    <t>Service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</si>
</sst>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92827"/>
      <name val="Segoe UI"/>
      <family val="2"/>
    </font>
    <font>
      <sz val="12"/>
      <color rgb="FF292827"/>
      <name val="Segoe UI"/>
      <family val="2"/>
    </font>
    <font>
      <sz val="12"/>
      <color rgb="FF000000"/>
      <name val="Aptos Narrow"/>
      <family val="2"/>
      <scheme val="minor"/>
    </font>
    <font>
      <sz val="10"/>
      <color rgb="FF565656"/>
      <name val="Arial"/>
      <family val="2"/>
    </font>
    <font>
      <sz val="10.5"/>
      <color rgb="FF242424"/>
      <name val="Segoe UI"/>
      <family val="2"/>
    </font>
    <font>
      <sz val="10"/>
      <color theme="1"/>
      <name val="Verdana"/>
      <family val="2"/>
    </font>
    <font>
      <sz val="10"/>
      <name val="Aptos Narrow"/>
      <family val="2"/>
      <scheme val="minor"/>
    </font>
    <font>
      <sz val="7"/>
      <color rgb="FF292827"/>
      <name val="Segoe UI"/>
      <family val="2"/>
    </font>
    <font>
      <sz val="11"/>
      <color rgb="FF000000"/>
      <name val="Arial"/>
      <family val="2"/>
    </font>
    <font>
      <sz val="7"/>
      <color rgb="FF565656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0"/>
      <color rgb="FF000000"/>
      <name val="Courier New"/>
      <family val="3"/>
    </font>
    <font>
      <sz val="11"/>
      <color rgb="FF000000"/>
      <name val="Aptos Narrow"/>
      <family val="2"/>
      <charset val="1"/>
      <scheme val="minor"/>
    </font>
    <font>
      <sz val="11"/>
      <color rgb="FF242424"/>
      <name val="Aptos Narrow"/>
    </font>
    <font>
      <sz val="11"/>
      <color theme="1"/>
      <name val="Aptos"/>
      <family val="2"/>
      <charset val="1"/>
    </font>
    <font>
      <sz val="11"/>
      <color rgb="FF242424"/>
      <name val="Segoe UI"/>
      <charset val="1"/>
    </font>
    <font>
      <sz val="10"/>
      <color rgb="FF292827"/>
      <name val="Az_Ea_Font"/>
      <charset val="1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97132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4" borderId="0" xfId="0" applyFill="1"/>
    <xf numFmtId="0" fontId="1" fillId="2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22" fontId="0" fillId="0" borderId="0" xfId="0" applyNumberFormat="1"/>
    <xf numFmtId="22" fontId="3" fillId="0" borderId="0" xfId="0" applyNumberFormat="1" applyFont="1"/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22" fontId="2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2" fontId="10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center"/>
    </xf>
    <xf numFmtId="22" fontId="1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4" fillId="6" borderId="3" xfId="0" applyFont="1" applyFill="1" applyBorder="1" applyAlignment="1">
      <alignment horizontal="center" vertical="top"/>
    </xf>
    <xf numFmtId="0" fontId="14" fillId="6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0" fillId="4" borderId="0" xfId="0" applyFont="1" applyFill="1"/>
    <xf numFmtId="0" fontId="25" fillId="5" borderId="3" xfId="0" applyFont="1" applyFill="1" applyBorder="1"/>
    <xf numFmtId="0" fontId="24" fillId="5" borderId="3" xfId="0" applyFont="1" applyFill="1" applyBorder="1"/>
    <xf numFmtId="0" fontId="0" fillId="5" borderId="3" xfId="0" applyFill="1" applyBorder="1"/>
    <xf numFmtId="22" fontId="24" fillId="5" borderId="3" xfId="0" applyNumberFormat="1" applyFont="1" applyFill="1" applyBorder="1"/>
    <xf numFmtId="22" fontId="24" fillId="5" borderId="4" xfId="0" applyNumberFormat="1" applyFont="1" applyFill="1" applyBorder="1"/>
    <xf numFmtId="22" fontId="24" fillId="5" borderId="5" xfId="0" applyNumberFormat="1" applyFont="1" applyFill="1" applyBorder="1"/>
    <xf numFmtId="22" fontId="24" fillId="5" borderId="6" xfId="0" applyNumberFormat="1" applyFont="1" applyFill="1" applyBorder="1"/>
    <xf numFmtId="0" fontId="24" fillId="5" borderId="5" xfId="0" applyFont="1" applyFill="1" applyBorder="1"/>
    <xf numFmtId="0" fontId="26" fillId="6" borderId="1" xfId="0" applyFont="1" applyFill="1" applyBorder="1"/>
    <xf numFmtId="0" fontId="26" fillId="6" borderId="7" xfId="0" applyFont="1" applyFill="1" applyBorder="1"/>
    <xf numFmtId="0" fontId="28" fillId="7" borderId="9" xfId="0" applyFont="1" applyFill="1" applyBorder="1"/>
    <xf numFmtId="0" fontId="28" fillId="0" borderId="9" xfId="0" applyFont="1" applyBorder="1"/>
    <xf numFmtId="0" fontId="28" fillId="8" borderId="9" xfId="0" applyFont="1" applyFill="1" applyBorder="1"/>
    <xf numFmtId="0" fontId="28" fillId="9" borderId="9" xfId="0" applyFont="1" applyFill="1" applyBorder="1"/>
    <xf numFmtId="0" fontId="28" fillId="10" borderId="9" xfId="0" applyFont="1" applyFill="1" applyBorder="1"/>
    <xf numFmtId="0" fontId="28" fillId="9" borderId="9" xfId="0" applyFont="1" applyFill="1" applyBorder="1" applyAlignment="1">
      <alignment wrapText="1"/>
    </xf>
    <xf numFmtId="0" fontId="28" fillId="10" borderId="9" xfId="0" applyFont="1" applyFill="1" applyBorder="1" applyAlignment="1">
      <alignment wrapText="1"/>
    </xf>
    <xf numFmtId="0" fontId="28" fillId="0" borderId="0" xfId="0" applyFont="1"/>
    <xf numFmtId="0" fontId="28" fillId="0" borderId="1" xfId="0" applyFont="1" applyBorder="1"/>
    <xf numFmtId="0" fontId="28" fillId="0" borderId="7" xfId="0" applyFont="1" applyBorder="1"/>
    <xf numFmtId="0" fontId="28" fillId="0" borderId="8" xfId="0" applyFont="1" applyBorder="1"/>
    <xf numFmtId="0" fontId="26" fillId="6" borderId="9" xfId="0" applyFont="1" applyFill="1" applyBorder="1"/>
    <xf numFmtId="0" fontId="26" fillId="6" borderId="7" xfId="0" applyFont="1" applyFill="1" applyBorder="1" applyAlignment="1">
      <alignment wrapText="1"/>
    </xf>
    <xf numFmtId="0" fontId="28" fillId="0" borderId="0" xfId="0" applyFont="1" applyAlignment="1">
      <alignment wrapText="1"/>
    </xf>
    <xf numFmtId="0" fontId="0" fillId="3" borderId="14" xfId="0" applyFill="1" applyBorder="1"/>
    <xf numFmtId="0" fontId="0" fillId="4" borderId="0" xfId="0" applyFill="1" applyAlignment="1">
      <alignment vertical="center"/>
    </xf>
    <xf numFmtId="0" fontId="0" fillId="0" borderId="0" xfId="0" pivotButton="1"/>
    <xf numFmtId="0" fontId="3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8" xfId="0" applyFont="1" applyBorder="1"/>
    <xf numFmtId="0" fontId="26" fillId="6" borderId="13" xfId="0" applyFont="1" applyFill="1" applyBorder="1"/>
    <xf numFmtId="0" fontId="26" fillId="6" borderId="7" xfId="0" applyFont="1" applyFill="1" applyBorder="1"/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5" fontId="3" fillId="0" borderId="15" xfId="0" applyNumberFormat="1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27" fillId="3" borderId="2" xfId="0" applyFont="1" applyFill="1" applyBorder="1" applyAlignment="1">
      <alignment wrapText="1"/>
    </xf>
    <xf numFmtId="0" fontId="27" fillId="3" borderId="2" xfId="0" applyFont="1" applyFill="1" applyBorder="1"/>
    <xf numFmtId="0" fontId="28" fillId="3" borderId="9" xfId="0" applyFont="1" applyFill="1" applyBorder="1"/>
    <xf numFmtId="0" fontId="28" fillId="3" borderId="9" xfId="0" applyFont="1" applyFill="1" applyBorder="1" applyAlignment="1">
      <alignment wrapText="1"/>
    </xf>
    <xf numFmtId="0" fontId="28" fillId="8" borderId="9" xfId="0" applyFont="1" applyFill="1" applyBorder="1" applyAlignment="1">
      <alignment wrapText="1"/>
    </xf>
    <xf numFmtId="0" fontId="27" fillId="3" borderId="8" xfId="0" applyFont="1" applyFill="1" applyBorder="1" applyAlignment="1">
      <alignment wrapText="1"/>
    </xf>
    <xf numFmtId="0" fontId="27" fillId="3" borderId="8" xfId="0" applyFont="1" applyFill="1" applyBorder="1"/>
    <xf numFmtId="0" fontId="27" fillId="3" borderId="9" xfId="0" applyFont="1" applyFill="1" applyBorder="1"/>
    <xf numFmtId="0" fontId="28" fillId="3" borderId="10" xfId="0" applyFont="1" applyFill="1" applyBorder="1"/>
    <xf numFmtId="0" fontId="28" fillId="3" borderId="10" xfId="0" applyFont="1" applyFill="1" applyBorder="1" applyAlignment="1">
      <alignment wrapText="1"/>
    </xf>
    <xf numFmtId="0" fontId="27" fillId="3" borderId="11" xfId="0" applyFont="1" applyFill="1" applyBorder="1"/>
    <xf numFmtId="0" fontId="29" fillId="3" borderId="4" xfId="0" applyFont="1" applyFill="1" applyBorder="1" applyAlignment="1">
      <alignment wrapText="1"/>
    </xf>
    <xf numFmtId="0" fontId="28" fillId="3" borderId="4" xfId="0" applyFont="1" applyFill="1" applyBorder="1"/>
    <xf numFmtId="0" fontId="28" fillId="3" borderId="4" xfId="0" applyFont="1" applyFill="1" applyBorder="1" applyAlignment="1">
      <alignment wrapText="1"/>
    </xf>
    <xf numFmtId="0" fontId="27" fillId="3" borderId="12" xfId="0" applyFont="1" applyFill="1" applyBorder="1"/>
    <xf numFmtId="0" fontId="27" fillId="3" borderId="5" xfId="0" applyFont="1" applyFill="1" applyBorder="1"/>
    <xf numFmtId="0" fontId="29" fillId="3" borderId="6" xfId="0" applyFont="1" applyFill="1" applyBorder="1" applyAlignment="1">
      <alignment wrapText="1"/>
    </xf>
    <xf numFmtId="0" fontId="28" fillId="3" borderId="6" xfId="0" applyFont="1" applyFill="1" applyBorder="1"/>
    <xf numFmtId="0" fontId="28" fillId="3" borderId="6" xfId="0" applyFont="1" applyFill="1" applyBorder="1" applyAlignment="1">
      <alignment wrapText="1"/>
    </xf>
    <xf numFmtId="0" fontId="28" fillId="3" borderId="12" xfId="0" applyFont="1" applyFill="1" applyBorder="1"/>
    <xf numFmtId="0" fontId="28" fillId="3" borderId="5" xfId="0" applyFont="1" applyFill="1" applyBorder="1"/>
    <xf numFmtId="0" fontId="0" fillId="3" borderId="0" xfId="0" applyFill="1"/>
    <xf numFmtId="0" fontId="15" fillId="3" borderId="3" xfId="0" applyFont="1" applyFill="1" applyBorder="1" applyAlignment="1">
      <alignment horizontal="center" vertical="top"/>
    </xf>
    <xf numFmtId="0" fontId="15" fillId="3" borderId="3" xfId="0" applyFont="1" applyFill="1" applyBorder="1" applyAlignment="1">
      <alignment horizontal="center" vertical="center"/>
    </xf>
    <xf numFmtId="22" fontId="15" fillId="3" borderId="3" xfId="0" applyNumberFormat="1" applyFont="1" applyFill="1" applyBorder="1" applyAlignment="1">
      <alignment horizontal="center" vertical="center"/>
    </xf>
    <xf numFmtId="2" fontId="15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16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2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4.385419328704" createdVersion="8" refreshedVersion="8" minRefreshableVersion="3" recordCount="55" xr:uid="{26EFC4E5-8051-4F9C-9D5D-B80292C24FD8}">
  <cacheSource type="worksheet">
    <worksheetSource ref="A1:L56" sheet="AIX Inv"/>
  </cacheSource>
  <cacheFields count="12">
    <cacheField name="HMC" numFmtId="0">
      <sharedItems containsBlank="1"/>
    </cacheField>
    <cacheField name="Frame" numFmtId="0">
      <sharedItems containsBlank="1"/>
    </cacheField>
    <cacheField name="Server_Name" numFmtId="0">
      <sharedItems/>
    </cacheField>
    <cacheField name="Status" numFmtId="0">
      <sharedItems/>
    </cacheField>
    <cacheField name="OS" numFmtId="0">
      <sharedItems count="6">
        <s v="VIOS"/>
        <s v="AIX"/>
        <s v="VIOS-DR"/>
        <s v="AIX-DR"/>
        <s v="iSeries-VIOS"/>
        <s v="iSeries-VIOS-DR"/>
      </sharedItems>
    </cacheField>
    <cacheField name="Version" numFmtId="0">
      <sharedItems/>
    </cacheField>
    <cacheField name="Ip address" numFmtId="0">
      <sharedItems/>
    </cacheField>
    <cacheField name="Used for" numFmtId="0">
      <sharedItems/>
    </cacheField>
    <cacheField name="Application" numFmtId="0">
      <sharedItems/>
    </cacheField>
    <cacheField name="Application Owner" numFmtId="0">
      <sharedItems/>
    </cacheField>
    <cacheField name="Application DL" numFmtId="0">
      <sharedItems/>
    </cacheField>
    <cacheField name="Comments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i, Ranjith Kumar (AS)" refreshedDate="45864.39466539352" createdVersion="8" refreshedVersion="8" minRefreshableVersion="3" recordCount="133" xr:uid="{C2B552C4-21A3-4E88-9C02-BDC3DB576789}">
  <cacheSource type="worksheet">
    <worksheetSource ref="A1:S1048576" sheet="LINUX Inv"/>
  </cacheSource>
  <cacheFields count="19">
    <cacheField name="Name" numFmtId="0">
      <sharedItems containsBlank="1"/>
    </cacheField>
    <cacheField name="IP ADDRESS" numFmtId="0">
      <sharedItems containsBlank="1"/>
    </cacheField>
    <cacheField name="OS" numFmtId="0">
      <sharedItems containsBlank="1" count="4">
        <s v="SuSE Linux"/>
        <s v="Red Hat Linux"/>
        <m/>
        <s v="ILO"/>
      </sharedItems>
    </cacheField>
    <cacheField name="Patching status" numFmtId="0">
      <sharedItems containsBlank="1"/>
    </cacheField>
    <cacheField name="Migratation status " numFmtId="0">
      <sharedItems containsBlank="1"/>
    </cacheField>
    <cacheField name="Version" numFmtId="0">
      <sharedItems containsString="0" containsBlank="1" containsNumber="1" minValue="7.9" maxValue="15.6"/>
    </cacheField>
    <cacheField name="Short_Description" numFmtId="0">
      <sharedItems containsBlank="1"/>
    </cacheField>
    <cacheField name="Owned_By" numFmtId="0">
      <sharedItems containsBlank="1"/>
    </cacheField>
    <cacheField name="Type" numFmtId="0">
      <sharedItems containsBlank="1"/>
    </cacheField>
    <cacheField name="Location" numFmtId="0">
      <sharedItems containsBlank="1"/>
    </cacheField>
    <cacheField name="Used_for" numFmtId="0">
      <sharedItems containsBlank="1"/>
    </cacheField>
    <cacheField name="Support_group" numFmtId="0">
      <sharedItems containsBlank="1"/>
    </cacheField>
    <cacheField name="Sys_created_on" numFmtId="0">
      <sharedItems containsNonDate="0" containsDate="1" containsString="0" containsBlank="1" minDate="2013-02-09T18:04:00" maxDate="2023-04-10T07:10:00"/>
    </cacheField>
    <cacheField name="Sys_updated_on" numFmtId="0">
      <sharedItems containsNonDate="0" containsDate="1" containsString="0" containsBlank="1" minDate="2021-08-26T09:37:00" maxDate="2023-04-10T07:10:00"/>
    </cacheField>
    <cacheField name="Managed_by" numFmtId="0">
      <sharedItems containsBlank="1"/>
    </cacheField>
    <cacheField name="Operational_status" numFmtId="0">
      <sharedItems containsBlank="1"/>
    </cacheField>
    <cacheField name="Monitoring Status" numFmtId="0">
      <sharedItems containsBlank="1"/>
    </cacheField>
    <cacheField name="Monitoring Tool" numFmtId="0">
      <sharedItems containsBlank="1"/>
    </cacheField>
    <cacheField name="Java da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hmcp9a-10.98.32.141_x000a_hmcp9b-10.98.32.143"/>
    <s v="E950-01-9040-MR9-SN78ECCEX"/>
    <s v="RLAG8VS1 "/>
    <s v="Running"/>
    <x v="0"/>
    <s v="3.1.4.21"/>
    <s v="10.98.35.204"/>
    <s v="VIO"/>
    <s v="Virtualization"/>
    <s v="Suresh Konduru"/>
    <s v="US-UDG-SYS-UNIX-Admins"/>
    <s v=" "/>
  </r>
  <r>
    <m/>
    <m/>
    <s v="RLAG8VS2 "/>
    <s v="Running"/>
    <x v="0"/>
    <s v="3.1.4.21"/>
    <s v="10.98.35.205"/>
    <s v="VIO"/>
    <s v="Virtualization"/>
    <s v="Suresh Konduru"/>
    <s v="US-UDG-SYS-UNIX-Admins"/>
    <s v=" "/>
  </r>
  <r>
    <m/>
    <m/>
    <s v="RLAD1JEP "/>
    <s v="Running"/>
    <x v="1"/>
    <s v="7200-05-09-2446"/>
    <s v="10.98.35.106"/>
    <s v="DEV"/>
    <s v="Enterprise Planning"/>
    <s v="Mullassaril, Thomas"/>
    <s v="DL-DEPT-IT-GPA-EP,DL-DEPT-IT-GPA-EPTECH"/>
    <s v=" "/>
  </r>
  <r>
    <m/>
    <m/>
    <s v="RLAD2JEP "/>
    <s v="Running"/>
    <x v="1"/>
    <s v="7200-05-09-2446"/>
    <s v="10.98.35.129"/>
    <s v="DEV"/>
    <s v="Enterprise Planning"/>
    <s v="Mullassaril, Thomas"/>
    <s v="DL-DEPT-IT-GPA-EP,DL-DEPT-IT-GPA-EPTECH"/>
    <s v=" "/>
  </r>
  <r>
    <m/>
    <m/>
    <s v="RLAD1GBI "/>
    <s v="Running"/>
    <x v="1"/>
    <s v="7200-05-09-2446"/>
    <s v="10.98.35.125"/>
    <s v="DEV"/>
    <s v="Microstrategy &amp; Crystal Reports"/>
    <s v="Sasidharan, Suku; Reis, Walter; Gullapalli, Praveen "/>
    <s v="DL-DEPT-IT-BICC-EIA"/>
    <s v=" "/>
  </r>
  <r>
    <m/>
    <m/>
    <s v="RLAP1DBH "/>
    <s v="Running"/>
    <x v="1"/>
    <s v="7200-05-09-2446"/>
    <s v="10.98.35.53"/>
    <s v="PROD"/>
    <s v="JDA Allocation"/>
    <s v="Vite, Cecilia; Poulose, Roshini"/>
    <s v="DL-DEPT-IT-GPA-ALLOC,DL-DEPT-IT-GPA-ALLOCTECH,DL-DEPT-IT-BICC-DMI"/>
    <s v=" "/>
  </r>
  <r>
    <m/>
    <m/>
    <s v="RLAP1GBI "/>
    <s v="Running"/>
    <x v="1"/>
    <s v="7200-05-09-2446"/>
    <s v="10.98.35.120"/>
    <s v="PROD"/>
    <s v="Microstrategy &amp; Crystal Reports"/>
    <s v="Sasidharan, Suku; Reis, Walter; Gullapalli, Praveen "/>
    <s v="DL-DEPT-IT-BICC-EIA"/>
    <s v=" "/>
  </r>
  <r>
    <m/>
    <m/>
    <s v="RLAP1GCM "/>
    <s v="Running"/>
    <x v="1"/>
    <s v="7200-05-09-2446"/>
    <s v="10.98.35.122"/>
    <s v="PROD"/>
    <s v="Reconnect"/>
    <s v="Liew, Vincent"/>
    <s v="Liew, Vincent (US) &lt;Vincent.Liew@RalphLauren.com&gt;"/>
    <s v=" "/>
  </r>
  <r>
    <m/>
    <m/>
    <s v="RLAP1JEP "/>
    <s v="Running"/>
    <x v="1"/>
    <s v="7200-05-09-2446"/>
    <s v="10.98.35.134"/>
    <s v="PROD"/>
    <s v="Enterprise Planning"/>
    <s v="Mullassaril, Thomas"/>
    <s v="DL-DEPT-IT-GPA-EP,DL-DEPT-IT-GPA-EPTECH"/>
    <s v=" "/>
  </r>
  <r>
    <m/>
    <m/>
    <s v="RLAP1LGY "/>
    <s v="Running"/>
    <x v="1"/>
    <s v="7200-05-09-2446"/>
    <s v="10.98.35.149"/>
    <s v="PROD"/>
    <s v="Logility "/>
    <s v="Mullassaril, Thomas"/>
    <s v="DL-DEPT-IT-GPA-LOGILITY"/>
    <s v=" "/>
  </r>
  <r>
    <m/>
    <m/>
    <s v="RLAP1ORR "/>
    <s v="Running"/>
    <x v="1"/>
    <s v="7200-05-09-2446"/>
    <s v="10.98.35.119"/>
    <s v="PROD"/>
    <s v="RMAN catalog"/>
    <s v="DBA Team"/>
    <s v="DL-DEPT-IT-Database-Support, DL-DEPT-IT-BICC-DSE"/>
    <s v=" "/>
  </r>
  <r>
    <m/>
    <m/>
    <s v="RLAP1PLM"/>
    <s v="Running"/>
    <x v="1"/>
    <s v="7200-05-09-2446"/>
    <s v="10.98.35.99"/>
    <s v="PROD"/>
    <s v="PLM"/>
    <s v="Patil, Leena; Dattatraya; Sandeep Nakkarike"/>
    <s v="DL-GROUP-PLM-Technical-Group"/>
    <s v=" "/>
  </r>
  <r>
    <m/>
    <m/>
    <s v="RLAP1WPM "/>
    <s v="Running"/>
    <x v="1"/>
    <s v="7200-05-09-2446"/>
    <s v="10.98.35.130"/>
    <s v="PROD"/>
    <s v="WEBPDM"/>
    <s v="Patil, Leena; Dattatraya; Sandeep Nakkarike"/>
    <s v="DL-GROUP-PLM-Technical-Group"/>
    <s v=" "/>
  </r>
  <r>
    <m/>
    <m/>
    <s v="RLAP2JEP "/>
    <s v="Running"/>
    <x v="1"/>
    <s v="7200-05-09-2446"/>
    <s v="10.98.35.142"/>
    <s v="PROD"/>
    <s v="Enterprise Planning"/>
    <s v="Mullassaril, Thomas"/>
    <s v="DL-DEPT-IT-GPA-EP,DL-DEPT-IT-GPA-EPTECH"/>
    <s v=" "/>
  </r>
  <r>
    <m/>
    <m/>
    <s v="RLAQ1DBH "/>
    <s v="Running"/>
    <x v="1"/>
    <s v="7200-05-09-2446"/>
    <s v="10.98.35.82"/>
    <s v="QA"/>
    <s v="JDA Allocation"/>
    <s v="Vite, Cecilia; Poulose, Roshini"/>
    <s v="DL-DEPT-IT-GPA-ALLOC,DL-DEPT-IT-GPA-ALLOCTECH,DL-DEPT-IT-BICC-DMI"/>
    <s v=" "/>
  </r>
  <r>
    <m/>
    <m/>
    <s v="RLAQ1GBI "/>
    <s v="Running"/>
    <x v="1"/>
    <s v="7200-05-09-2446"/>
    <s v="10.98.35.114"/>
    <s v="QA"/>
    <s v="Microstrategy &amp; Crystal Reports"/>
    <s v="Sasidharan, Suku; Reis, Walter; Gullapalli, Praveen "/>
    <s v="DL-DEPT-IT-BICC-EIA"/>
    <s v=" "/>
  </r>
  <r>
    <m/>
    <m/>
    <s v="RLAQ1GCM "/>
    <s v="Running"/>
    <x v="1"/>
    <s v="7200-05-09-2446"/>
    <s v="10.98.35.117"/>
    <s v="QA"/>
    <s v="Reconnect"/>
    <s v="Liew, Vincent"/>
    <s v="Liew, Vincent (US) &lt;Vincent.Liew@RalphLauren.com&gt;"/>
    <s v=" "/>
  </r>
  <r>
    <m/>
    <m/>
    <s v="RLAQ1JEP "/>
    <s v="Running"/>
    <x v="1"/>
    <s v="7200-05-09-2446"/>
    <s v="10.98.35.133"/>
    <s v="QA"/>
    <s v="Enterprise Planning"/>
    <s v="Mullassaril, Thomas"/>
    <s v="DL-DEPT-IT-GPA-EP,DL-DEPT-IT-GPA-EPTECH"/>
    <s v=" "/>
  </r>
  <r>
    <m/>
    <m/>
    <s v="RLAQ1LGY "/>
    <s v="Running"/>
    <x v="1"/>
    <s v="7200-05-09-2446"/>
    <s v="10.98.35.148"/>
    <s v="QA"/>
    <s v="Logility "/>
    <s v="Mullassaril, Thomas"/>
    <s v="DL-DEPT-IT-GPA-LOGILITY"/>
    <s v=" "/>
  </r>
  <r>
    <m/>
    <m/>
    <s v="RLAQ1ORR "/>
    <s v="Running"/>
    <x v="1"/>
    <s v="7200-05-09-2446"/>
    <s v="10.98.35.115"/>
    <s v="QA"/>
    <s v="RMAN catalog"/>
    <s v="DBA Team"/>
    <s v="DL-DEPT-IT-Database-Support, DL-DEPT-IT-BICC-DSE"/>
    <s v=" "/>
  </r>
  <r>
    <m/>
    <m/>
    <s v="RLAQ1PLM "/>
    <s v="Running"/>
    <x v="1"/>
    <s v="7200-05-09-2446"/>
    <s v="10.98.35.98"/>
    <s v="QA"/>
    <s v="PLM"/>
    <s v="Patil, Leena; Dattatraya; Sandeep Nakkarike"/>
    <s v="DL-GROUP-PLM-Technical-Group"/>
    <s v=" "/>
  </r>
  <r>
    <m/>
    <m/>
    <s v="RLAQ1WPM "/>
    <s v="Running"/>
    <x v="1"/>
    <s v="7200-05-09-2446"/>
    <s v="10.98.35.131"/>
    <s v="QA"/>
    <s v="WEBPDM"/>
    <s v="Patil, Leena; Dattatraya; Sandeep Nakkarike"/>
    <s v="DL-GROUP-PLM-Technical-Group"/>
    <s v=" "/>
  </r>
  <r>
    <m/>
    <m/>
    <s v="RLAQ2JEP "/>
    <s v="Running"/>
    <x v="1"/>
    <s v="7200-05-09-2446"/>
    <s v="10.98.35.141"/>
    <s v="QA"/>
    <s v="Enterprise Planning"/>
    <s v="Mullassaril, Thomas"/>
    <s v="DL-DEPT-IT-GPA-EP,DL-DEPT-IT-GPA-EPTECH"/>
    <s v=" "/>
  </r>
  <r>
    <m/>
    <m/>
    <s v="RLAS1ORR "/>
    <s v="Running"/>
    <x v="1"/>
    <s v="7200-05-09-2446"/>
    <s v="10.98.35.144"/>
    <s v="DEV"/>
    <s v="RFID Reporting Application, Xcenter "/>
    <s v="Liew, Vincent; Teji, Paramdeep"/>
    <s v="Liew, Vincent (US) &lt;Vincent.Liew@RalphLauren.com&gt;"/>
    <s v=" "/>
  </r>
  <r>
    <m/>
    <m/>
    <s v="RLAS1PLM "/>
    <s v="Running"/>
    <x v="1"/>
    <s v="7200-05-09-2446"/>
    <s v="10.98.35.96"/>
    <s v="DEV"/>
    <s v="PLM"/>
    <s v="Patil, Leena; Dattatraya; Sandeep Nakkarike"/>
    <s v="DL-GROUP-PLM-Technical-Group"/>
    <s v=" "/>
  </r>
  <r>
    <m/>
    <m/>
    <s v="rlap2mqs"/>
    <s v="Running"/>
    <x v="1"/>
    <s v="7200-05-09-2446"/>
    <s v="10.98.35.37"/>
    <s v="PROD"/>
    <s v="MQ Messaging"/>
    <s v="Saber,Mubarak; Gurajala, Madhusudhan"/>
    <s v="DL-Group-IT-ESB-Middleware-Support"/>
    <s v="Cluster"/>
  </r>
  <r>
    <m/>
    <m/>
    <s v="rlaq2mqs"/>
    <s v="Running"/>
    <x v="1"/>
    <s v="7200-05-09-2446"/>
    <s v="10.98.35.39"/>
    <s v="QA"/>
    <s v="MQ Messaging"/>
    <s v="Saber,Mubarak; Gurajala, Madhusudhan"/>
    <s v="DL-Group-IT-ESB-Middleware-Support"/>
    <s v="Cluster"/>
  </r>
  <r>
    <s v="hmcp9a-10.98.32.141_x000a_hmcp9b-10.98.32.143"/>
    <s v="S924-01-9009-42G-SN78E5EC0"/>
    <s v="RLAG7VS1"/>
    <s v="Running"/>
    <x v="0"/>
    <s v="3.1.4.21"/>
    <s v="10.98.35.198"/>
    <s v="VIOS"/>
    <s v="Virtualization"/>
    <s v="Suresh Konduru"/>
    <s v="US-UDG-SYS-UNIX-Admins"/>
    <s v=" "/>
  </r>
  <r>
    <m/>
    <m/>
    <s v="RLAG7VS2"/>
    <s v="Running"/>
    <x v="0"/>
    <s v="3.1.4.21"/>
    <s v="10.98.35.199"/>
    <s v="VIOS"/>
    <s v="Virtualization"/>
    <s v="Suresh Konduru"/>
    <s v="US-UDG-SYS-UNIX-Admins"/>
    <s v=" "/>
  </r>
  <r>
    <m/>
    <m/>
    <s v="RLAP1NIM"/>
    <s v="Running"/>
    <x v="1"/>
    <s v="7200-05-09-2446"/>
    <s v="10.98.35.50"/>
    <s v="PROD"/>
    <s v="NIM Server"/>
    <s v="Suresh Konduru"/>
    <s v="US-UDG-SYS-UNIX-Admins"/>
    <s v="NIM"/>
  </r>
  <r>
    <m/>
    <m/>
    <s v="RLAS1ADM"/>
    <s v="Running"/>
    <x v="1"/>
    <s v="7200-05-09-2446"/>
    <s v="10.98.35.41"/>
    <s v="SANDBOX"/>
    <s v="UNIX Testing"/>
    <s v="Suresh Konduru"/>
    <s v="US-UDG-SYS-UNIX-Admins"/>
    <s v=" "/>
  </r>
  <r>
    <m/>
    <m/>
    <s v="RLAS4ADM"/>
    <s v="Running"/>
    <x v="1"/>
    <s v="7200-05-09-2446"/>
    <s v="10.98.35.239"/>
    <s v="SANDBOX"/>
    <s v="UNIX Testing"/>
    <s v="Suresh Konduru"/>
    <s v="US-UDG-SYS-UNIX-Admins"/>
    <s v=" "/>
  </r>
  <r>
    <m/>
    <m/>
    <s v="RLAS5ADM"/>
    <s v="Running"/>
    <x v="1"/>
    <s v="7200-05-09-2446"/>
    <s v="10.98.35.241"/>
    <s v="SANDBOX"/>
    <s v="UNIX Testing"/>
    <s v="Suresh Konduru"/>
    <s v="US-UDG-SYS-UNIX-Admins"/>
    <s v=" "/>
  </r>
  <r>
    <m/>
    <m/>
    <s v="rlap1mqs"/>
    <s v="Running"/>
    <x v="1"/>
    <s v="7200-05-09-2446"/>
    <s v="10.98.35.46/10.98.35.140"/>
    <s v="PROD"/>
    <s v="MQ Messaging"/>
    <s v="Saber,Mubarak; Gurajala, Madhusudhan"/>
    <s v="DL-Group-IT-ESB-Middleware-Support"/>
    <s v="Cluster"/>
  </r>
  <r>
    <m/>
    <m/>
    <s v="rlaq1mqs"/>
    <s v="Running"/>
    <x v="1"/>
    <s v="7200-05-09-2446"/>
    <s v="10.98.35.42/10.98.35.138"/>
    <s v="QA"/>
    <s v="MQ Messaging"/>
    <s v="Saber,Mubarak; Gurajala, Madhusudhan"/>
    <s v="DL-Group-IT-ESB-Middleware-Support"/>
    <s v="Cluster"/>
  </r>
  <r>
    <s v="hmcdcx01-10.108.32.91"/>
    <s v="8286-42A-SN217473V"/>
    <s v="rlag9vs1"/>
    <s v="Running"/>
    <x v="2"/>
    <s v="3.1.4.21"/>
    <s v="10.108.35.11"/>
    <s v="VIO"/>
    <s v="Virtualization"/>
    <s v="Suresh Konduru"/>
    <s v="US-UDG-SYS-UNIX-Admins"/>
    <s v=" "/>
  </r>
  <r>
    <m/>
    <m/>
    <s v="rlag9vs2"/>
    <s v="Running"/>
    <x v="2"/>
    <s v="3.1.4.21"/>
    <s v="10.108.35.12"/>
    <s v="VIO"/>
    <s v="Virtualization"/>
    <s v="Suresh Konduru"/>
    <s v="US-UDG-SYS-UNIX-Admins"/>
    <s v=" "/>
  </r>
  <r>
    <m/>
    <m/>
    <s v="rlap1dbh_dr"/>
    <s v="Running"/>
    <x v="3"/>
    <s v="7200-05-06-2320"/>
    <s v="10.98.35.53"/>
    <s v="PROD"/>
    <s v="JDA Allocation"/>
    <s v="Vite, Cecilia; Poulose, Roshini"/>
    <s v="DL-DEPT-IT-GPA-ALLOC,DL-DEPT-IT-GPA-ALLOCTECH,DL-DEPT-IT-BICC-DMI"/>
    <s v=" "/>
  </r>
  <r>
    <m/>
    <m/>
    <s v="rlap1edm_dr"/>
    <s v="Running"/>
    <x v="3"/>
    <s v="7200-05-06-2320"/>
    <s v="10.98.35.121"/>
    <s v="PROD"/>
    <s v="Informatica Metadata EDM/ETL"/>
    <s v="Deshpande, Kalyan"/>
    <s v="DL-DEPT-IT-BICC-DMI"/>
    <s v=" "/>
  </r>
  <r>
    <m/>
    <m/>
    <s v="rlap1gbi_dr"/>
    <s v="Running"/>
    <x v="3"/>
    <s v="7200-05-06-2320"/>
    <s v="10.98.35.120"/>
    <s v="PROD"/>
    <s v="Microstrategy &amp; Crystal Reports"/>
    <s v="Sasidharan, Suku; Reis, Walter; Gullapalli, Praveen "/>
    <s v="DL-DEPT-IT-BICC-EIA"/>
    <s v=" "/>
  </r>
  <r>
    <m/>
    <m/>
    <s v="rlap1gcm_dr"/>
    <s v="Running"/>
    <x v="3"/>
    <s v="7200-05-06-2320"/>
    <s v="10.98.35.122"/>
    <s v="PROD"/>
    <s v="Reconnect"/>
    <s v="Liew, Vincent"/>
    <s v="Liew, Vincent (US) &lt;Vincent.Liew@RalphLauren.com&gt;"/>
    <s v=" "/>
  </r>
  <r>
    <m/>
    <m/>
    <s v="rlap1lgy_dr"/>
    <s v="Running"/>
    <x v="3"/>
    <s v="7200-05-06-2320"/>
    <s v="10.98.35.149"/>
    <s v="PROD"/>
    <s v="Logility "/>
    <s v="Mullassaril, Thomas"/>
    <s v="DL-DEPT-IT-GPA-LOGILITY"/>
    <s v=" "/>
  </r>
  <r>
    <m/>
    <m/>
    <s v="rlap1mqs_dr"/>
    <s v="Running"/>
    <x v="3"/>
    <s v="7200-05-06-2320"/>
    <s v="10.98.35.46"/>
    <s v="PROD"/>
    <s v="MQ Messaging"/>
    <s v="Saber,Mubarak; Gurajala, Madhusudhan"/>
    <s v="DL-Group-IT-ESB-Middleware-Support"/>
    <s v=" "/>
  </r>
  <r>
    <m/>
    <m/>
    <s v="rlap1plm_dr"/>
    <s v="Running"/>
    <x v="3"/>
    <s v="7200-05-06-2320"/>
    <s v="10.98.35.99"/>
    <s v="PROD"/>
    <s v="PLM"/>
    <s v="Patil, Leena; Dattatraya; Sandeep Nakkarike"/>
    <s v="DL-GROUP-PLM-Technical-Group"/>
    <s v=" "/>
  </r>
  <r>
    <m/>
    <m/>
    <s v="rlap1wpm_dr"/>
    <s v="Running"/>
    <x v="3"/>
    <s v="7200-05-06-2320"/>
    <s v="10.98.35.130"/>
    <s v="PROD"/>
    <s v="WEBPDM"/>
    <s v="Patil, Leena; Dattatraya; Sandeep Nakkarike"/>
    <s v="DL-GROUP-PLM-Technical-Group"/>
    <s v=" "/>
  </r>
  <r>
    <m/>
    <m/>
    <s v="rlap2nim"/>
    <s v="Running"/>
    <x v="3"/>
    <s v="7200-05-07-2346"/>
    <s v="10.108.35.20/10.98.35.155"/>
    <s v="PROD"/>
    <s v="NIM Server"/>
    <s v="Suresh Konduru"/>
    <s v="US-UDG-SYS-UNIX-Admins"/>
    <s v="NIM"/>
  </r>
  <r>
    <m/>
    <m/>
    <s v="rlad2lgy_dr"/>
    <s v="Running"/>
    <x v="3"/>
    <s v="7200-05-06-2320"/>
    <s v="10.108.35.238, 10.98.35.238"/>
    <s v="QA"/>
    <s v="Test Server - Logility "/>
    <s v="DBA Team"/>
    <s v="DL-DEPT-IT-Database-Support &lt;RL-DBA@RalphLauren.com&gt;"/>
    <s v=" "/>
  </r>
  <r>
    <s v="10.98.32.61   10.98.33.61"/>
    <s v=" C3PO-9080-HEX-SN78B13C8"/>
    <s v="RLAGEVS1"/>
    <s v="Running"/>
    <x v="4"/>
    <s v="4.1.0.21"/>
    <s v="10.98.32.31"/>
    <s v="iSeries-VIOS"/>
    <s v="Virtualization"/>
    <s v="Suresh Konduru"/>
    <s v="US-UDG-SYS-UNIX-Admins"/>
    <s v=" "/>
  </r>
  <r>
    <m/>
    <m/>
    <s v="RLAGEVS2"/>
    <s v="Running"/>
    <x v="4"/>
    <s v="4.1.0.21"/>
    <s v="10.98.32.32"/>
    <s v="iSeries-VIOS"/>
    <s v="Virtualization"/>
    <s v="Suresh Konduru"/>
    <s v="US-UDG-SYS-UNIX-Admins"/>
    <s v=" "/>
  </r>
  <r>
    <m/>
    <s v="DARYL-9105-42A-78A7341"/>
    <s v="RLAGFVS1"/>
    <s v="Running"/>
    <x v="4"/>
    <s v="4.1.0.21"/>
    <s v="10.98.32.33"/>
    <s v="iSeries-VIOS"/>
    <s v="Virtualization"/>
    <s v="Suresh Konduru"/>
    <s v="US-UDG-SYS-UNIX-Admins"/>
    <s v=" "/>
  </r>
  <r>
    <m/>
    <m/>
    <s v="RLAGFVS2"/>
    <s v="Running"/>
    <x v="4"/>
    <s v="4.1.0.21"/>
    <s v="10.98.32.34"/>
    <s v="iSeries-VIOS"/>
    <s v="Virtualization"/>
    <s v="Suresh Konduru"/>
    <s v="US-UDG-SYS-UNIX-Admins"/>
    <s v=" "/>
  </r>
  <r>
    <m/>
    <s v="ELLE-9105-42A-78A7361"/>
    <s v="RLAGGVS1"/>
    <s v="Running"/>
    <x v="4"/>
    <s v="4.1.0.21"/>
    <s v="10.98.32.35"/>
    <s v="iSeries-VIOS"/>
    <s v="Virtualization"/>
    <s v="Suresh Konduru"/>
    <s v="US-UDG-SYS-UNIX-Admins"/>
    <s v=" "/>
  </r>
  <r>
    <m/>
    <m/>
    <s v="RLAGGVS2"/>
    <s v="Running"/>
    <x v="4"/>
    <s v="4.1.0.21"/>
    <s v="10.98.32.36"/>
    <s v="iSeries-VIOS"/>
    <s v="Virtualization"/>
    <s v="Suresh Konduru"/>
    <s v="US-UDG-SYS-UNIX-Admins"/>
    <s v=" "/>
  </r>
  <r>
    <s v="hmcdcx01-10.108.32.12"/>
    <s v=" "/>
    <s v="RLAG10VS1"/>
    <s v="Running"/>
    <x v="5"/>
    <s v="3.1.4.21"/>
    <s v="10.108.35.17"/>
    <s v="iSeries-VIOS"/>
    <s v="Virtualization"/>
    <s v="Suresh Konduru"/>
    <s v="US-UDG-SYS-UNIX-Admins"/>
    <s v=" "/>
  </r>
  <r>
    <m/>
    <m/>
    <s v="RLAG10VS2"/>
    <s v="Running"/>
    <x v="5"/>
    <s v="3.1.4.21"/>
    <s v="10.108.35.18"/>
    <s v="iSeries-VIOS"/>
    <s v="Virtualization"/>
    <s v="Suresh Konduru"/>
    <s v="US-UDG-SYS-UNIX-Admins"/>
    <s v=" 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BICCDMI04"/>
    <s v="10.98.33.201"/>
    <x v="0"/>
    <m/>
    <s v="completed"/>
    <n v="15.6"/>
    <s v="Teradata - Microstrategy"/>
    <s v="Amit shete"/>
    <s v="Onprem"/>
    <s v="GSO"/>
    <s v="Production"/>
    <s v="Enterprise Unix Support"/>
    <d v="2013-02-09T18:04:00"/>
    <d v="2021-08-26T09:37:00"/>
    <s v="Suresh Konduru"/>
    <s v="Operational"/>
    <s v="Yes"/>
    <s v="Solarwind"/>
    <m/>
  </r>
  <r>
    <s v="rllbkpaut "/>
    <s v="10.98.33.80"/>
    <x v="1"/>
    <m/>
    <s v="completed "/>
    <n v="8.1"/>
    <s v="Avamar Automation"/>
    <s v="David Whittington"/>
    <s v="Onprem"/>
    <s v="GSO"/>
    <s v="Production"/>
    <s v="Enterprise Unix Support"/>
    <d v="2020-11-25T05:31:00"/>
    <d v="2021-08-26T09:37:00"/>
    <s v="Suresh Konduru"/>
    <s v="Operational"/>
    <s v="Yes"/>
    <s v="Solarwind"/>
    <m/>
  </r>
  <r>
    <s v="RLLCSDI1"/>
    <s v="10.98.33.170"/>
    <x v="1"/>
    <m/>
    <s v="Planning for upgrade"/>
    <n v="8.1"/>
    <s v="New PO App, SAP application servers"/>
    <s v="Krishna Kiran"/>
    <s v="Onprem"/>
    <s v="GSO"/>
    <s v="Development"/>
    <s v="Enterprise Unix Support"/>
    <d v="2018-03-14T07:24:00"/>
    <d v="2021-08-31T06:02:00"/>
    <s v="Suresh Konduru"/>
    <s v="Operational"/>
    <s v="Yes"/>
    <s v="Solarwind"/>
    <m/>
  </r>
  <r>
    <s v="RLLCSHI1"/>
    <s v="10.108.22.16"/>
    <x v="1"/>
    <m/>
    <s v="Plannig for decom"/>
    <n v="7.9"/>
    <s v="New PO App, SAP application servers"/>
    <s v="Krishna Kiran"/>
    <s v="Onprem"/>
    <s v="DR- Denvar"/>
    <s v="Development"/>
    <s v="Enterprise Unix Support"/>
    <d v="2018-06-22T11:58:00"/>
    <d v="2021-08-31T06:02:00"/>
    <s v="Suresh Konduru"/>
    <s v="Operational"/>
    <s v="Yes"/>
    <s v="Solarwind"/>
    <m/>
  </r>
  <r>
    <s v="RLLCSPI1"/>
    <s v="10.98.33.172"/>
    <x v="1"/>
    <m/>
    <s v="Planning for upgrade"/>
    <n v="8.1"/>
    <s v="New PO App, SAP application servers"/>
    <s v="Krishna Kiran"/>
    <s v="Onprem"/>
    <s v="GSO"/>
    <s v="Production"/>
    <s v="Enterprise Unix Support"/>
    <d v="2018-03-14T07:24:00"/>
    <d v="2021-08-31T06:02:00"/>
    <s v="Suresh Konduru"/>
    <s v="Operational"/>
    <s v="Yes"/>
    <s v="Solarwind"/>
    <m/>
  </r>
  <r>
    <s v="RLLCSPL1"/>
    <s v="10.98.33.214"/>
    <x v="1"/>
    <m/>
    <s v="completed"/>
    <n v="8.8000000000000007"/>
    <s v="New PO App, SAP application servers"/>
    <s v="Krishna Kiran"/>
    <s v="Onprem"/>
    <s v="GSO"/>
    <s v="Production"/>
    <s v="Enterprise Unix Support"/>
    <d v="2018-03-14T07:24:00"/>
    <d v="2021-08-31T06:02:00"/>
    <s v="Suresh Konduru"/>
    <s v="Operational"/>
    <s v="Yes"/>
    <s v="Solarwind"/>
    <m/>
  </r>
  <r>
    <s v="RLLCSQI1"/>
    <s v="10.98.33.171"/>
    <x v="1"/>
    <m/>
    <s v="Planning for upgrade"/>
    <n v="8.1"/>
    <s v="New PO App, SAP application servers"/>
    <s v="Krishna Kiran"/>
    <s v="Onprem"/>
    <s v="GSO"/>
    <s v="Development"/>
    <s v="Enterprise Unix Support"/>
    <d v="2018-06-22T11:58:00"/>
    <d v="2021-08-31T06:02:00"/>
    <s v="Suresh Konduru"/>
    <s v="Operational"/>
    <s v="Yes"/>
    <s v="Solarwind"/>
    <m/>
  </r>
  <r>
    <s v="RLLCSSI1"/>
    <s v="10.98.33.182"/>
    <x v="1"/>
    <m/>
    <s v="Planning for upgrade"/>
    <n v="8.1"/>
    <s v="New PO App, SAP application servers"/>
    <s v="Krishna Kiran"/>
    <s v="Onprem"/>
    <s v="GSO"/>
    <s v="Production"/>
    <s v="Enterprise Unix Support"/>
    <d v="2018-06-22T11:58:00"/>
    <d v="2021-08-31T06:02:00"/>
    <s v="Suresh Konduru"/>
    <s v="Operational"/>
    <s v="Yes"/>
    <s v="Solarwind"/>
    <m/>
  </r>
  <r>
    <s v="RLLCSSL1"/>
    <s v="10.98.33.213"/>
    <x v="1"/>
    <m/>
    <s v="completed"/>
    <n v="8.8000000000000007"/>
    <s v="New PO App, SAP application servers"/>
    <s v="Krishna Kiran"/>
    <s v="Onprem"/>
    <s v="GSO"/>
    <s v="Production"/>
    <s v="Enterprise Unix Support"/>
    <d v="2018-12-18T04:44:00"/>
    <d v="2021-08-31T06:02:00"/>
    <s v="Suresh Konduru"/>
    <s v="Operational"/>
    <s v="Yes"/>
    <s v="Solarwind"/>
    <m/>
  </r>
  <r>
    <s v="rlld1ace"/>
    <s v="10.98.33.217"/>
    <x v="1"/>
    <m/>
    <m/>
    <n v="8.8000000000000007"/>
    <s v="ESB Environment"/>
    <s v="Saber Mubarak"/>
    <s v="Onprem"/>
    <s v="GSO"/>
    <s v="Development"/>
    <s v="Enterprise Unix Support"/>
    <d v="2021-02-05T06:35:00"/>
    <d v="2021-08-26T09:37:00"/>
    <s v="Suresh Konduru"/>
    <s v="Operational"/>
    <s v="Yes"/>
    <s v="Solarwind"/>
    <m/>
  </r>
  <r>
    <s v="RLLD1DSA ( SAP subscription)"/>
    <s v="10.98.33.186"/>
    <x v="1"/>
    <m/>
    <s v="completed"/>
    <n v="8.8000000000000007"/>
    <s v="SAP SolMan"/>
    <s v="Krishna Kiran"/>
    <s v="Onprem"/>
    <s v="GSO"/>
    <s v="Development"/>
    <s v="Enterprise Unix Support"/>
    <d v="2017-05-31T06:10:00"/>
    <d v="2021-08-31T06:04:00"/>
    <s v="Suresh Konduru"/>
    <s v="Operational"/>
    <s v="Yes"/>
    <s v="Solarwind"/>
    <m/>
  </r>
  <r>
    <s v="RLLD1MDB ( SAP subscription)"/>
    <s v="10.98.33.180"/>
    <x v="1"/>
    <m/>
    <s v="completed"/>
    <n v="8.8000000000000007"/>
    <s v="SAP SolMan"/>
    <s v="Krishna Kiran"/>
    <s v="Onprem"/>
    <s v="GSO"/>
    <s v="Development"/>
    <s v="Enterprise Unix Support"/>
    <d v="2018-06-22T11:58:00"/>
    <d v="2021-08-26T09:37:00"/>
    <s v="Suresh Konduru"/>
    <s v="Operational"/>
    <s v="Yes"/>
    <s v="Solarwind"/>
    <m/>
  </r>
  <r>
    <s v="rlld1mft"/>
    <s v="10.98.33.216"/>
    <x v="1"/>
    <m/>
    <m/>
    <n v="8.8000000000000007"/>
    <s v="ESB Environment"/>
    <s v="Saber Mubarak"/>
    <s v="Onprem"/>
    <s v="GSO"/>
    <s v="Development"/>
    <s v="Enterprise Unix Support"/>
    <d v="2021-02-05T06:34:00"/>
    <d v="2021-08-26T09:37:00"/>
    <s v="Suresh Konduru"/>
    <s v="Operational"/>
    <s v="Yes"/>
    <s v="Solarwind"/>
    <m/>
  </r>
  <r>
    <s v="rllg1dis/BICCDM03"/>
    <s v="10.98.33.200"/>
    <x v="0"/>
    <m/>
    <s v="completed"/>
    <n v="15.6"/>
    <s v="Teradata/BI ETL QA server"/>
    <s v="Amit Shete "/>
    <s v="Onprem"/>
    <s v="GSO"/>
    <s v="Development"/>
    <s v="Enterprise Unix Support"/>
    <d v="2017-08-10T11:31:00"/>
    <d v="2021-08-26T09:37:00"/>
    <s v="Suresh Konduru"/>
    <s v="Operational"/>
    <s v="Yes"/>
    <s v="Solarwind"/>
    <m/>
  </r>
  <r>
    <s v="RLLG2DIS"/>
    <s v="10.98.33.203"/>
    <x v="0"/>
    <m/>
    <s v="completed"/>
    <n v="15.6"/>
    <s v="Teradata"/>
    <s v="Amit shete"/>
    <s v="Onprem"/>
    <s v="GSO"/>
    <s v="Development"/>
    <s v="Enterprise Unix Support"/>
    <d v="2017-08-10T11:31:00"/>
    <d v="2021-08-26T09:37:00"/>
    <s v="Suresh Konduru"/>
    <s v="Operational"/>
    <s v="Yes"/>
    <s v="Solarwind"/>
    <m/>
  </r>
  <r>
    <s v="rllp1ace"/>
    <s v="10.98.33.52"/>
    <x v="1"/>
    <m/>
    <m/>
    <n v="8.8000000000000007"/>
    <s v="ESB Environment"/>
    <s v="Saber Mubarak"/>
    <s v="Onprem"/>
    <s v="GSO"/>
    <s v="Production"/>
    <s v="Enterprise Unix Support"/>
    <d v="2021-06-18T06:13:00"/>
    <d v="2021-08-26T09:37:00"/>
    <s v="Suresh Konduru"/>
    <s v="Operational"/>
    <s v="Yes"/>
    <s v="Solarwind"/>
    <m/>
  </r>
  <r>
    <s v="RLLP1ACN"/>
    <s v="10.98.35.216"/>
    <x v="1"/>
    <s v="completed"/>
    <s v="completed"/>
    <n v="8.1"/>
    <s v="Aspera"/>
    <s v="Sunil kumar Tadikamalla"/>
    <s v="Onprem"/>
    <s v="GSO"/>
    <s v="Production"/>
    <s v="Enterprise Unix Support"/>
    <d v="2017-05-31T06:10:00"/>
    <d v="2021-08-26T09:37:00"/>
    <s v="Suresh Konduru"/>
    <s v="Operational"/>
    <s v="Yes"/>
    <s v="Solarwind"/>
    <m/>
  </r>
  <r>
    <s v="RLLP1ACS"/>
    <s v="10.98.35.215"/>
    <x v="1"/>
    <s v="completed"/>
    <s v="completed"/>
    <n v="8.1"/>
    <s v="Aspera"/>
    <s v="Sunil kumar Tadikamalla"/>
    <s v="Onprem"/>
    <s v="GSO"/>
    <s v="Production"/>
    <s v="Enterprise Unix Support"/>
    <d v="2015-11-05T20:30:00"/>
    <d v="2021-08-26T09:37:00"/>
    <s v="Suresh Konduru"/>
    <s v="Operational"/>
    <s v="Yes"/>
    <s v="Solarwind"/>
    <m/>
  </r>
  <r>
    <s v="RLLP1ANSI"/>
    <s v="10.98.33.253"/>
    <x v="1"/>
    <m/>
    <s v="completed"/>
    <n v="8.8000000000000007"/>
    <s v="Unix Server"/>
    <s v="Suresh Konduru"/>
    <s v="Onprem"/>
    <s v="GSO"/>
    <s v="Production"/>
    <s v="Enterprise Unix Support"/>
    <d v="2018-12-18T04:44:00"/>
    <d v="2021-08-26T09:37:00"/>
    <s v="Suresh Konduru"/>
    <s v="Operational"/>
    <s v="Yes"/>
    <s v="Solarwind"/>
    <m/>
  </r>
  <r>
    <s v="rllp1elk"/>
    <s v="10.98.33.56"/>
    <x v="1"/>
    <m/>
    <m/>
    <n v="8.8000000000000007"/>
    <s v="ESB Environment"/>
    <s v="Saber Mubarak"/>
    <s v="Onprem"/>
    <s v="GSO"/>
    <s v="Production"/>
    <s v="Enterprise Unix Support"/>
    <d v="2021-06-18T06:13:00"/>
    <d v="2021-08-26T09:37:00"/>
    <s v="Suresh Konduru"/>
    <s v="Operational"/>
    <s v="Yes"/>
    <s v="Solarwind"/>
    <m/>
  </r>
  <r>
    <s v="RLLP1MDB"/>
    <s v="10.98.33.187"/>
    <x v="1"/>
    <m/>
    <s v="completed "/>
    <n v="8.8000000000000007"/>
    <s v="SAP SolMan/HANA DB"/>
    <s v="Krishna Kiran"/>
    <s v="Onprem"/>
    <s v="GSO"/>
    <s v="Production"/>
    <s v="Enterprise Unix Support"/>
    <d v="2017-05-31T06:10:00"/>
    <d v="2021-08-31T06:07:00"/>
    <s v="Suresh Konduru"/>
    <s v="Operational"/>
    <s v="Yes"/>
    <s v="Solarwind"/>
    <m/>
  </r>
  <r>
    <s v="rllp1mft"/>
    <s v="10.98.33.47"/>
    <x v="1"/>
    <m/>
    <m/>
    <n v="8.8000000000000007"/>
    <s v="ESB Environment"/>
    <s v="Saber Mubarak"/>
    <s v="Onprem"/>
    <s v="GSO"/>
    <s v="Production"/>
    <s v="Enterprise Unix Support"/>
    <d v="2021-06-22T11:07:00"/>
    <d v="2021-08-26T09:37:00"/>
    <s v="Suresh Konduru"/>
    <s v="Operational"/>
    <s v="Yes"/>
    <s v="Solarwind"/>
    <m/>
  </r>
  <r>
    <s v="rllp1pfsrfb"/>
    <s v="172.17.41.32"/>
    <x v="1"/>
    <m/>
    <s v="completed "/>
    <n v="8.9"/>
    <s v="Tyco RFID MQTT Broker application"/>
    <s v="Vincent Liew"/>
    <s v="Onprem"/>
    <s v="GSO"/>
    <s v="Production"/>
    <s v="Enterprise Unix Support"/>
    <d v="2018-07-06T08:08:00"/>
    <d v="2021-08-26T09:37:00"/>
    <s v="Suresh Konduru"/>
    <s v="Operational"/>
    <s v="Yes"/>
    <s v="Solarwind"/>
    <m/>
  </r>
  <r>
    <s v="RLLP1PMAX"/>
    <s v="10.98.54.191"/>
    <x v="1"/>
    <m/>
    <s v="completed"/>
    <n v="8.9"/>
    <s v="Power Max Application"/>
    <s v="David Whittington"/>
    <s v="Onprem"/>
    <s v="GSO"/>
    <s v="Production"/>
    <s v="Enterprise Unix Support"/>
    <d v="2018-12-18T04:46:00"/>
    <d v="2021-08-26T09:37:00"/>
    <s v="Suresh Konduru"/>
    <s v="Operational"/>
    <s v="Yes"/>
    <s v="Solarwind"/>
    <m/>
  </r>
  <r>
    <s v="RLLP1PSA"/>
    <s v="10.98.33.181"/>
    <x v="1"/>
    <m/>
    <m/>
    <n v="8.8000000000000007"/>
    <s v="SAP SolMan"/>
    <s v="Krishna Kiran"/>
    <s v="Onprem"/>
    <s v="GSO"/>
    <s v="Production"/>
    <s v="Enterprise Unix Support"/>
    <d v="2017-05-31T06:10:00"/>
    <d v="2021-08-31T06:08:00"/>
    <s v="Suresh Konduru"/>
    <s v="Operational"/>
    <s v="Yes"/>
    <s v="Solarwind"/>
    <m/>
  </r>
  <r>
    <s v="rllp1vgoapp"/>
    <s v="10.103.40.241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1vgodb"/>
    <s v="10.103.40.249"/>
    <x v="1"/>
    <m/>
    <m/>
    <n v="7.9"/>
    <s v="Vargo DB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2ace"/>
    <s v="10.98.33.53"/>
    <x v="1"/>
    <m/>
    <m/>
    <n v="8.8000000000000007"/>
    <s v="ESB Environment"/>
    <s v="Saber Mubarak"/>
    <s v="Onprem"/>
    <s v="GSO"/>
    <s v="Production"/>
    <s v="Enterprise Unix Support"/>
    <d v="2021-06-18T06:13:00"/>
    <d v="2021-08-26T09:37:00"/>
    <s v="Suresh Konduru"/>
    <s v="Operational"/>
    <s v="Yes"/>
    <s v="Solarwind"/>
    <m/>
  </r>
  <r>
    <s v="rllp2mft"/>
    <s v="10.98.33.48"/>
    <x v="1"/>
    <m/>
    <m/>
    <n v="8.8000000000000007"/>
    <s v="ESB Environment"/>
    <s v="Saber Mubarak"/>
    <s v="Onprem"/>
    <s v="GSO"/>
    <s v="Production"/>
    <s v="Enterprise Unix Support"/>
    <d v="2021-06-22T11:08:00"/>
    <d v="2021-08-26T09:37:00"/>
    <s v="Suresh Konduru"/>
    <s v="Operational"/>
    <s v="Yes"/>
    <s v="Solarwind"/>
    <m/>
  </r>
  <r>
    <s v="rllp2pfsrfb"/>
    <s v="172.17.41.33"/>
    <x v="1"/>
    <m/>
    <s v="completed"/>
    <n v="8.9"/>
    <s v="Tyco RFID MQTT Broker application"/>
    <s v="Vincent Liew"/>
    <s v="Onprem"/>
    <s v="GSO"/>
    <s v="Production"/>
    <s v="Enterprise Unix Support"/>
    <d v="2018-07-06T08:08:00"/>
    <d v="2021-08-26T09:37:00"/>
    <s v="Suresh Konduru"/>
    <s v="Operational"/>
    <s v="Yes"/>
    <s v="Solarwind"/>
    <m/>
  </r>
  <r>
    <s v="RLLP2PMAX"/>
    <s v="10.108.22.51"/>
    <x v="1"/>
    <m/>
    <s v="completed"/>
    <n v="8.9"/>
    <s v="Power Max Application"/>
    <s v="David Whittington"/>
    <s v="Onprem"/>
    <s v="DR- Denvar"/>
    <s v="Production"/>
    <s v="Enterprise Unix Support"/>
    <d v="2018-12-18T04:47:00"/>
    <d v="2021-08-26T09:37:00"/>
    <s v="Suresh Konduru"/>
    <s v="Operational"/>
    <s v="Yes"/>
    <s v="Solarwind"/>
    <m/>
  </r>
  <r>
    <s v="rllp2vgoapp"/>
    <s v="10.103.40.242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2vgodb"/>
    <s v="10.103.40.250"/>
    <x v="1"/>
    <m/>
    <m/>
    <n v="7.9"/>
    <s v="Vargo DB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3ace"/>
    <s v="10.98.33.54"/>
    <x v="1"/>
    <m/>
    <m/>
    <n v="8.8000000000000007"/>
    <s v="ESB Environment"/>
    <s v="Saber Mubarak"/>
    <s v="Onprem"/>
    <s v="GSO"/>
    <s v="Production"/>
    <s v="Enterprise Unix Support"/>
    <d v="2021-06-18T06:13:00"/>
    <d v="2021-08-26T09:37:00"/>
    <s v="Suresh Konduru"/>
    <s v="Operational"/>
    <s v="Yes"/>
    <s v="Solarwind"/>
    <m/>
  </r>
  <r>
    <s v="rllp3pfsrfb"/>
    <s v="172.17.41.34"/>
    <x v="1"/>
    <m/>
    <s v="completed"/>
    <n v="8.9"/>
    <s v="Tyco RFID MQTT Broker application"/>
    <s v="Vincent Liew"/>
    <s v="Onprem"/>
    <s v="GSO"/>
    <s v="Production"/>
    <s v="Enterprise Unix Support"/>
    <d v="2018-07-06T08:08:00"/>
    <d v="2021-08-26T09:37:00"/>
    <s v="Suresh Konduru"/>
    <s v="Operational"/>
    <s v="Yes"/>
    <s v="Solarwind"/>
    <m/>
  </r>
  <r>
    <s v="rllp3vgoapp"/>
    <s v="10.103.40.243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3vgodb"/>
    <s v="10.103.40.251"/>
    <x v="1"/>
    <m/>
    <m/>
    <n v="7.9"/>
    <s v="Vargo DB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3vgodb-ilo"/>
    <s v="10.103.60.251"/>
    <x v="1"/>
    <m/>
    <m/>
    <n v="7.9"/>
    <s v="Vargo DB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4vgoapp"/>
    <s v="10.103.40.244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5vgoapp"/>
    <s v="10.103.40.245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6vgoapp"/>
    <s v="10.103.40.246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7vgoapp"/>
    <s v="10.103.40.247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8vgoapp"/>
    <s v="10.103.40.248"/>
    <x v="1"/>
    <m/>
    <m/>
    <n v="7.9"/>
    <s v="Vargo Application"/>
    <s v="Ryan Larkins"/>
    <s v="Onprem"/>
    <s v="HPD"/>
    <s v="Production"/>
    <s v="Enterprise Unix Support"/>
    <d v="2021-07-08T10:10:00"/>
    <d v="2021-08-26T09:37:00"/>
    <s v="Suresh Konduru"/>
    <s v="Operational"/>
    <s v="Yes"/>
    <s v="Solarwind"/>
    <m/>
  </r>
  <r>
    <s v="rllprfr1"/>
    <s v="172.17.41.45"/>
    <x v="1"/>
    <m/>
    <s v="completed"/>
    <n v="8.8000000000000007"/>
    <s v="Infosys Dashboard Tool for RL PFS FOHTY "/>
    <s v="Vincent Liew"/>
    <s v="Onprem"/>
    <s v="GSO"/>
    <s v="Production"/>
    <s v="Enterprise Unix Support"/>
    <d v="2020-05-06T02:56:00"/>
    <d v="2021-08-26T09:37:00"/>
    <s v="Suresh Konduru"/>
    <s v="Operational"/>
    <s v="Yes"/>
    <s v="Solarwind"/>
    <m/>
  </r>
  <r>
    <s v="rllq1ace"/>
    <s v="10.98.33.49"/>
    <x v="1"/>
    <m/>
    <m/>
    <n v="8.1"/>
    <s v="ESB Environment"/>
    <s v="Saber Mubarak"/>
    <s v="Onprem"/>
    <s v="GSO"/>
    <s v="QA"/>
    <s v="Enterprise Unix Support"/>
    <d v="2021-05-19T05:10:00"/>
    <d v="2021-08-26T09:37:00"/>
    <s v="Suresh Konduru"/>
    <s v="Operational"/>
    <s v="Yes"/>
    <s v="Solarwind"/>
    <m/>
  </r>
  <r>
    <s v="rllq1elk"/>
    <s v="10.98.33.55"/>
    <x v="1"/>
    <m/>
    <m/>
    <n v="8.1"/>
    <s v="ESB Environment"/>
    <s v="Saber Mubarak"/>
    <s v="Onprem"/>
    <s v="GSO"/>
    <s v="QA"/>
    <s v="Enterprise Unix Support"/>
    <d v="2021-05-19T05:11:00"/>
    <d v="2021-08-26T09:37:00"/>
    <s v="Suresh Konduru"/>
    <s v="Operational"/>
    <s v="Yes"/>
    <s v="Solarwind"/>
    <m/>
  </r>
  <r>
    <s v="rllq1mft "/>
    <s v="10.98.33.45"/>
    <x v="1"/>
    <m/>
    <m/>
    <n v="8.1"/>
    <s v="ESB Environment"/>
    <s v="Saber Mubarak"/>
    <s v="Onprem"/>
    <s v="GSO"/>
    <s v="QA"/>
    <s v="Enterprise Unix Support"/>
    <d v="2021-05-19T05:09:00"/>
    <d v="2021-08-26T09:37:00"/>
    <s v="Suresh Konduru"/>
    <s v="Operational"/>
    <s v="Yes"/>
    <s v="Solarwind"/>
    <m/>
  </r>
  <r>
    <s v="rllq1orr "/>
    <s v="10.98.33.184"/>
    <x v="1"/>
    <m/>
    <s v="completed"/>
    <n v="8.8000000000000007"/>
    <s v="rman catalog"/>
    <s v="Vincent Liew"/>
    <s v="Onprem"/>
    <s v="GSO"/>
    <s v="Production"/>
    <s v="Enterprise Unix Support"/>
    <d v="2018-07-11T03:02:00"/>
    <d v="2021-08-26T09:37:00"/>
    <s v="Suresh Konduru"/>
    <s v="Operational"/>
    <s v="Yes"/>
    <s v="Solarwind"/>
    <m/>
  </r>
  <r>
    <s v="rllq2ace"/>
    <s v="10.98.33.50"/>
    <x v="1"/>
    <m/>
    <m/>
    <n v="8.1"/>
    <s v="ESB Environment"/>
    <s v="Saber Mubarak"/>
    <s v="Onprem"/>
    <s v="GSO"/>
    <s v="QA"/>
    <s v="Enterprise Unix Support"/>
    <d v="2021-05-19T05:10:00"/>
    <d v="2021-08-26T09:37:00"/>
    <s v="Suresh Konduru"/>
    <s v="Operational"/>
    <s v="Yes"/>
    <s v="Solarwind"/>
    <m/>
  </r>
  <r>
    <s v="rllq2mft"/>
    <s v="10.98.33.46"/>
    <x v="1"/>
    <m/>
    <m/>
    <n v="8.1"/>
    <s v="ESB Environment"/>
    <s v="Saber Mubarak"/>
    <s v="Onprem"/>
    <s v="GSO"/>
    <s v="QA"/>
    <s v="Enterprise Unix Support"/>
    <d v="2021-05-19T05:09:00"/>
    <d v="2021-08-26T09:37:00"/>
    <s v="Suresh Konduru"/>
    <s v="Operational"/>
    <s v="Yes"/>
    <s v="Solarwind"/>
    <m/>
  </r>
  <r>
    <s v="rllq3ace"/>
    <s v="10.98.33.51"/>
    <x v="1"/>
    <m/>
    <m/>
    <n v="8.8000000000000007"/>
    <s v="ESB Environment"/>
    <s v="Saber Mubarak"/>
    <s v="Onprem"/>
    <s v="GSO"/>
    <s v="QA"/>
    <s v="Enterprise Unix Support"/>
    <d v="2021-05-19T05:11:00"/>
    <d v="2021-08-26T09:37:00"/>
    <s v="Suresh Konduru"/>
    <s v="Operational"/>
    <s v="Yes"/>
    <s v="Solarwind"/>
    <m/>
  </r>
  <r>
    <s v="rllqrfr1"/>
    <s v="172.17.41.40"/>
    <x v="1"/>
    <m/>
    <s v="completed"/>
    <n v="8.8000000000000007"/>
    <s v="Infosys Dashboard Tool for RL PFS FOHTY "/>
    <s v="Vincent Liew"/>
    <s v="Onprem"/>
    <s v="GSO"/>
    <s v="QA"/>
    <s v="Enterprise Unix Support"/>
    <d v="2020-03-16T03:18:00"/>
    <d v="2021-08-26T09:37:00"/>
    <s v="Suresh Konduru"/>
    <s v="Operational"/>
    <s v="Yes"/>
    <s v="Solarwind"/>
    <m/>
  </r>
  <r>
    <s v="rlls1mds"/>
    <s v="10.98.33.229"/>
    <x v="1"/>
    <m/>
    <s v="completed"/>
    <n v="8.1"/>
    <s v="Storage MDS backup"/>
    <s v="David Whittington"/>
    <s v="Onprem"/>
    <s v="GSO"/>
    <s v="Production"/>
    <s v="Enterprise Unix Support"/>
    <d v="2021-09-08T08:40:00"/>
    <d v="2021-09-08T08:45:00"/>
    <s v="Suresh Konduru"/>
    <s v="Operational"/>
    <s v="Yes"/>
    <s v="Solarwind"/>
    <m/>
  </r>
  <r>
    <s v="rlls1unix"/>
    <s v="10.98.33.225"/>
    <x v="1"/>
    <m/>
    <m/>
    <n v="8.1"/>
    <s v="Patch Testing"/>
    <s v="Suresh Konduru"/>
    <s v="Onprem"/>
    <s v="GSO"/>
    <s v="Test"/>
    <s v="Enterprise Unix Support"/>
    <d v="2018-06-22T11:58:00"/>
    <d v="2021-08-26T09:37:00"/>
    <s v="Suresh Konduru"/>
    <s v="Operational"/>
    <s v="Yes"/>
    <s v="Solarwind"/>
    <m/>
  </r>
  <r>
    <s v="rlls1vgoapp"/>
    <s v="10.103.40.252"/>
    <x v="1"/>
    <m/>
    <m/>
    <n v="7.9"/>
    <s v="Vargo Test"/>
    <s v="Ryan Larkins"/>
    <s v="Onprem"/>
    <s v="HPD"/>
    <s v="Test"/>
    <s v="Enterprise Unix Support"/>
    <d v="2021-07-08T10:10:00"/>
    <d v="2021-08-26T09:37:00"/>
    <s v="Suresh Konduru"/>
    <s v="Operational"/>
    <s v="Yes"/>
    <s v="Solarwind"/>
    <m/>
  </r>
  <r>
    <s v="rllt1tst"/>
    <s v="10.98.33.221"/>
    <x v="1"/>
    <m/>
    <s v="completed"/>
    <n v="8.8000000000000007"/>
    <s v="Patch Testing"/>
    <s v="Suresh Konduru"/>
    <s v="Onprem"/>
    <s v="GSO"/>
    <s v="Test"/>
    <s v="Enterprise Unix Support"/>
    <d v="2018-06-22T11:58:00"/>
    <d v="2021-08-26T09:37:00"/>
    <s v="Suresh Konduru"/>
    <s v="Operational"/>
    <s v="Yes"/>
    <s v="Solarwind"/>
    <m/>
  </r>
  <r>
    <s v="RLLT2TST"/>
    <s v="10.98.33.222"/>
    <x v="1"/>
    <m/>
    <s v="completed"/>
    <n v="8.8000000000000007"/>
    <s v="Patch Testing"/>
    <s v="Suresh Konduru"/>
    <s v="Onprem"/>
    <s v="GSO"/>
    <s v="Test"/>
    <s v="Enterprise Unix Support"/>
    <d v="2018-06-22T11:58:00"/>
    <d v="2021-08-26T09:37:00"/>
    <s v="Suresh Konduru"/>
    <s v="Operational"/>
    <s v="Yes"/>
    <s v="Solarwind"/>
    <m/>
  </r>
  <r>
    <s v="RLLT3TST"/>
    <s v="10.98.33.223"/>
    <x v="1"/>
    <m/>
    <s v="completed"/>
    <n v="8.8000000000000007"/>
    <s v="Patch Testing"/>
    <s v="Suresh Konduru"/>
    <s v="Onprem"/>
    <s v="GSO"/>
    <s v="Test"/>
    <s v="Enterprise Unix Support"/>
    <d v="2017-05-31T06:10:00"/>
    <d v="2021-08-26T09:37:00"/>
    <s v="Suresh Konduru"/>
    <s v="Operational"/>
    <s v="Yes"/>
    <s v="Solarwind"/>
    <m/>
  </r>
  <r>
    <s v="rllvargo"/>
    <s v="10.98.33.192"/>
    <x v="1"/>
    <m/>
    <m/>
    <n v="7.9"/>
    <s v="Vargo Test virtual server"/>
    <s v="Ryan Larkins"/>
    <s v="Onprem"/>
    <s v="GSO"/>
    <s v="Test"/>
    <s v="Enterprise Unix Support"/>
    <d v="2021-06-09T05:55:00"/>
    <d v="2021-08-26T09:37:00"/>
    <s v="Suresh Konduru"/>
    <s v="Operational"/>
    <s v="Yes"/>
    <s v="Solarwind"/>
    <m/>
  </r>
  <r>
    <s v="rllvxpi1"/>
    <s v="10.98.33.117"/>
    <x v="1"/>
    <m/>
    <s v="completed"/>
    <n v="8.8000000000000007"/>
    <s v="Infosys Dashboard Tool for RL PFS FOHTY "/>
    <s v="Vincent Liew"/>
    <s v="Onprem"/>
    <s v="GSO"/>
    <s v="Production"/>
    <s v="Enterprise Unix Support"/>
    <d v="2020-06-25T06:10:00"/>
    <d v="2021-08-26T09:37:00"/>
    <s v="Suresh Konduru"/>
    <s v="Operational"/>
    <s v="Yes"/>
    <s v="Solarwind"/>
    <m/>
  </r>
  <r>
    <s v="rllvxqi1"/>
    <s v="10.98.33.116"/>
    <x v="1"/>
    <m/>
    <s v="completed"/>
    <n v="8.8000000000000007"/>
    <s v="Infosys Dashboard Tool for RL PFS FOHTY "/>
    <s v="Vincent Liew"/>
    <s v="Onprem"/>
    <s v="GSO"/>
    <s v="QA"/>
    <s v="Enterprise Unix Support"/>
    <d v="2020-06-25T06:09:00"/>
    <d v="2021-08-26T09:37:00"/>
    <s v="Suresh Konduru"/>
    <s v="Operational"/>
    <s v="Yes"/>
    <s v="Solarwind"/>
    <m/>
  </r>
  <r>
    <s v="usazpdlfwbk1v"/>
    <s v="10.201.11.29"/>
    <x v="1"/>
    <m/>
    <s v="completed"/>
    <n v="8.1"/>
    <s v="Swimlane application"/>
    <s v="Andreas Cortes"/>
    <s v="Azure"/>
    <s v="EAST US"/>
    <s v="Production"/>
    <s v="Enterprise Unix Support"/>
    <d v="2021-09-29T06:29:00"/>
    <d v="2021-09-29T06:29:00"/>
    <s v="Suresh Konduru"/>
    <s v="Operational"/>
    <s v="Yes"/>
    <s v="Solarwind"/>
    <m/>
  </r>
  <r>
    <s v="rllp1gtm"/>
    <s v="10.98.33.133"/>
    <x v="1"/>
    <m/>
    <m/>
    <n v="8.8000000000000007"/>
    <s v="GTM (Mongo DB)"/>
    <s v="Saber Mubarak"/>
    <s v="Onprem"/>
    <s v="GSO"/>
    <s v="Production"/>
    <s v="Enterprise Unix Support"/>
    <d v="2022-05-09T07:10:00"/>
    <d v="2022-06-08T06:28:00"/>
    <s v="Suresh Konduru"/>
    <s v="Operational"/>
    <s v="Yes"/>
    <s v="Solarwind"/>
    <m/>
  </r>
  <r>
    <s v="RLLP3CICD"/>
    <s v="10.203.10.70"/>
    <x v="1"/>
    <m/>
    <s v="completed"/>
    <n v="9.3000000000000007"/>
    <s v="DevOps CICO"/>
    <s v="Saber Mubarak"/>
    <s v="Azure"/>
    <s v="EAST US"/>
    <s v="Production"/>
    <s v="Enterprise Unix Support"/>
    <d v="2022-06-16T07:10:00"/>
    <d v="2022-06-16T07:10:00"/>
    <s v="Suresh Konduru"/>
    <s v="Operational"/>
    <s v="Yes"/>
    <s v="Solarwind"/>
    <m/>
  </r>
  <r>
    <s v="RLLP4CICD"/>
    <s v="10.203.10.71"/>
    <x v="1"/>
    <m/>
    <s v="completed"/>
    <n v="9.3000000000000007"/>
    <s v="DevOps CICO"/>
    <s v="Saber Mubarak"/>
    <s v="Azure"/>
    <s v="EAST US"/>
    <s v="Production"/>
    <s v="Enterprise Unix Support"/>
    <d v="2022-06-16T07:10:00"/>
    <d v="2022-06-16T07:10:00"/>
    <s v="Suresh Konduru"/>
    <s v="Operational"/>
    <s v="Yes"/>
    <s v="Solarwind"/>
    <m/>
  </r>
  <r>
    <s v="Rlld1oms"/>
    <s v="10.98.33.189"/>
    <x v="1"/>
    <m/>
    <m/>
    <n v="8.1"/>
    <s v="OMS"/>
    <s v="Jayakumar s, Bhavya R"/>
    <s v="Onprem"/>
    <s v="GSO"/>
    <s v="Production"/>
    <s v="Enterprise Unix Support"/>
    <m/>
    <m/>
    <s v="Suresh Konduru"/>
    <s v="Operational"/>
    <s v="Yes"/>
    <s v="Solarwind"/>
    <m/>
  </r>
  <r>
    <s v="rllq1mq"/>
    <s v="10.98.42.73"/>
    <x v="1"/>
    <m/>
    <m/>
    <n v="8.1"/>
    <s v="MQ"/>
    <s v="Saber Mubarak"/>
    <s v="Onprem"/>
    <s v="GSO"/>
    <s v="QA"/>
    <s v="Enterprise Unix Support"/>
    <m/>
    <m/>
    <s v="Suresh Konduru"/>
    <s v="Operational"/>
    <s v="Yes"/>
    <s v="Solarwind"/>
    <m/>
  </r>
  <r>
    <s v="rllq2mq"/>
    <s v="10.98.42.74"/>
    <x v="1"/>
    <m/>
    <m/>
    <n v="8.1"/>
    <s v="MQ"/>
    <s v="Saber Mubarak"/>
    <s v="Onprem"/>
    <s v="GSO"/>
    <s v="QA"/>
    <s v="Enterprise Unix Support"/>
    <m/>
    <m/>
    <s v="Suresh Konduru"/>
    <s v="Operational"/>
    <s v="Yes"/>
    <s v="Solarwind"/>
    <m/>
  </r>
  <r>
    <s v="rllq3mq"/>
    <s v="10.98.42.75"/>
    <x v="1"/>
    <m/>
    <m/>
    <n v="8.1"/>
    <s v="MQ"/>
    <s v="Saber Mubarak"/>
    <s v="Onprem"/>
    <s v="GSO"/>
    <s v="QA"/>
    <s v="Enterprise Unix Support"/>
    <m/>
    <m/>
    <s v="Suresh Konduru"/>
    <s v="Operational"/>
    <s v="Yes"/>
    <s v="Solarwind"/>
    <m/>
  </r>
  <r>
    <s v="rllp1mq"/>
    <s v="10.98.42.70"/>
    <x v="1"/>
    <m/>
    <m/>
    <n v="8.6999999999999993"/>
    <s v="MQ"/>
    <s v="Saber Mubarak"/>
    <s v="Onprem"/>
    <s v="GSO"/>
    <s v="Production"/>
    <s v="Enterprise Unix Support"/>
    <m/>
    <m/>
    <s v="Suresh Konduru"/>
    <s v="Operational"/>
    <s v="Yes"/>
    <s v="Solarwind"/>
    <m/>
  </r>
  <r>
    <s v="rllp2mq"/>
    <s v="10.98.42.71"/>
    <x v="1"/>
    <m/>
    <m/>
    <n v="8.6999999999999993"/>
    <s v="MQ"/>
    <s v="Saber Mubarak"/>
    <s v="Onprem"/>
    <s v="GSO"/>
    <s v="Production"/>
    <s v="Enterprise Unix Support"/>
    <m/>
    <m/>
    <s v="Suresh Konduru"/>
    <s v="Operational"/>
    <s v="Yes"/>
    <s v="Solarwind"/>
    <m/>
  </r>
  <r>
    <s v="rllp3mq"/>
    <s v="10.98.42.72"/>
    <x v="1"/>
    <m/>
    <m/>
    <n v="8.6999999999999993"/>
    <s v="MQ"/>
    <s v="Saber Mubarak"/>
    <s v="Onprem"/>
    <s v="GSO"/>
    <s v="Production"/>
    <s v="Enterprise Unix Support"/>
    <m/>
    <m/>
    <s v="Suresh Konduru"/>
    <s v="Operational"/>
    <s v="Yes"/>
    <s v="Solarwind"/>
    <m/>
  </r>
  <r>
    <s v="rllazdevoms"/>
    <s v="10.203.13.198"/>
    <x v="1"/>
    <m/>
    <s v="completed"/>
    <n v="9.3000000000000007"/>
    <s v="OMS"/>
    <s v="Jayakumar s, Bhavya R"/>
    <s v="Azure"/>
    <s v="EAST US"/>
    <s v="Development"/>
    <s v="Enterprise Unix Support"/>
    <m/>
    <m/>
    <s v="Suresh Konduru"/>
    <s v="Operational"/>
    <s v="Yes"/>
    <s v="Solarwind"/>
    <m/>
  </r>
  <r>
    <s v="rllazd1oms"/>
    <s v="10.203.13.196 "/>
    <x v="1"/>
    <m/>
    <s v="completed"/>
    <n v="8.8000000000000007"/>
    <s v="OMS "/>
    <s v="Jayakumar s, Bhavya R"/>
    <s v="Azure"/>
    <s v="EAST US"/>
    <s v="Development"/>
    <s v="Enterprise Unix Support"/>
    <m/>
    <m/>
    <s v="Suresh Konduru"/>
    <s v="Operational"/>
    <s v="Yes"/>
    <s v="Solarwind"/>
    <m/>
  </r>
  <r>
    <s v="rllazdprodops"/>
    <s v="10.202.7.36"/>
    <x v="1"/>
    <s v="completed"/>
    <s v="completed"/>
    <n v="9.1999999999999993"/>
    <s v="Prod-ops"/>
    <s v="Rakesh Gadi"/>
    <s v="Azure"/>
    <s v="EAST US"/>
    <s v="Development"/>
    <s v="Enterprise Unix Support"/>
    <d v="2023-04-10T07:10:00"/>
    <d v="2023-04-10T07:10:00"/>
    <s v="Suresh Konduru"/>
    <s v="Operational"/>
    <s v="Yes"/>
    <s v="Solarwind"/>
    <m/>
  </r>
  <r>
    <s v="RLLAZAPD1MFT/RLLAZD1MFT"/>
    <s v="10.196.6.4"/>
    <x v="1"/>
    <m/>
    <s v="completed"/>
    <n v="9.3000000000000007"/>
    <s v="MFT-DEV-APAC"/>
    <s v="Saber Mubarak"/>
    <s v="Azure"/>
    <s v="WEST EU"/>
    <s v="Development"/>
    <s v="Enterprise Unix Support"/>
    <m/>
    <m/>
    <s v="Suresh Konduru"/>
    <s v="Operational"/>
    <s v="Yes"/>
    <s v="Solarwind"/>
    <m/>
  </r>
  <r>
    <s v="RLLAZAPQ1MFT"/>
    <s v="10.196.6.68"/>
    <x v="1"/>
    <m/>
    <s v="completed"/>
    <n v="9.3000000000000007"/>
    <s v="MFT-QA-APAC"/>
    <s v="Saber Mubarak"/>
    <s v="Azure"/>
    <s v="WEST EU"/>
    <s v="QA"/>
    <s v="Enterprise Unix Support"/>
    <m/>
    <m/>
    <s v="Suresh Konduru"/>
    <s v="Operational"/>
    <s v="Yes"/>
    <s v="Solarwind"/>
    <m/>
  </r>
  <r>
    <s v="RLLAZAPQ2MFT"/>
    <s v="10.196.6.69"/>
    <x v="1"/>
    <m/>
    <s v="completed"/>
    <n v="9.3000000000000007"/>
    <s v="MFT-QA-APAC"/>
    <s v="Saber Mubarak"/>
    <s v="Azure"/>
    <s v="WEST EU"/>
    <s v="QA"/>
    <s v="Enterprise Unix Support"/>
    <m/>
    <m/>
    <s v="Suresh Konduru"/>
    <s v="Operational"/>
    <s v="Yes"/>
    <s v="Solarwind"/>
    <m/>
  </r>
  <r>
    <s v="RLLAZAPP1MFT"/>
    <s v="10.196.6.132"/>
    <x v="1"/>
    <m/>
    <s v="completed"/>
    <n v="9.4"/>
    <s v="MFT-Prod-APAC"/>
    <s v="Saber Mubarak"/>
    <s v="Azure"/>
    <s v="WEST EU"/>
    <s v="Production"/>
    <s v="Enterprise Unix Support"/>
    <m/>
    <m/>
    <s v="Suresh Konduru"/>
    <s v="Operational"/>
    <s v="Yes"/>
    <s v="Solarwind"/>
    <m/>
  </r>
  <r>
    <s v="RLLAZAPP2MFT"/>
    <s v="10.196.6.133"/>
    <x v="1"/>
    <m/>
    <s v="completed"/>
    <n v="9.4"/>
    <s v="MFT-Prod-APAC"/>
    <s v="Saber Mubarak"/>
    <s v="Azure"/>
    <s v="WEST EU"/>
    <s v="Production"/>
    <s v="Enterprise Unix Support"/>
    <m/>
    <m/>
    <s v="Suresh Konduru"/>
    <s v="Operational"/>
    <s v="Yes"/>
    <s v="Solarwind"/>
    <m/>
  </r>
  <r>
    <s v="RLLAZP1CERT"/>
    <s v="10.203.7.148"/>
    <x v="1"/>
    <m/>
    <s v="completed"/>
    <n v="9.4"/>
    <s v="CERT/Nginx Reverse Proxy"/>
    <s v="Andreas Cortes/Parikshit"/>
    <s v="Azure"/>
    <s v="EAST US"/>
    <s v="Production"/>
    <s v="Enterprise Unix Support"/>
    <m/>
    <m/>
    <s v="Suresh Konduru"/>
    <s v="Operational"/>
    <s v="Yes"/>
    <s v="Solarwind"/>
    <m/>
  </r>
  <r>
    <s v="RLLAZP2CERT"/>
    <s v="10.209.4.52"/>
    <x v="1"/>
    <m/>
    <s v="completed"/>
    <n v="9.4"/>
    <s v="CERT/Nginx Reverse Proxy"/>
    <s v="Andreas Cortes/Parikshit"/>
    <s v="Azure"/>
    <s v="WEST EU"/>
    <s v="Production"/>
    <s v="Enterprise Unix Support"/>
    <m/>
    <m/>
    <s v="Suresh Konduru"/>
    <s v="Operational"/>
    <s v="Yes"/>
    <s v="Solarwind"/>
    <m/>
  </r>
  <r>
    <s v="RllASAZDVMAWMS01"/>
    <s v="10.204.63.20"/>
    <x v="1"/>
    <m/>
    <s v="completed"/>
    <n v="9.4"/>
    <s v="Manhattan-active-wms"/>
    <s v="dominic leung"/>
    <s v="Azure"/>
    <s v="EAST ASIA"/>
    <s v="Development"/>
    <s v="Enterprise Unix Support"/>
    <m/>
    <m/>
    <s v="Suresh Konduru"/>
    <s v="Operational"/>
    <s v="Yes"/>
    <s v="Solarwind"/>
    <m/>
  </r>
  <r>
    <s v="rllp4pfsrfb"/>
    <s v="10.203.10.106"/>
    <x v="1"/>
    <m/>
    <s v="completed"/>
    <n v="8.9"/>
    <s v="Trvevue"/>
    <s v="Vincent Liew"/>
    <s v="Azure"/>
    <s v="EAST US"/>
    <s v="Production"/>
    <s v="Enterprise Unix Support"/>
    <m/>
    <m/>
    <s v="Suresh Konduru"/>
    <s v="Operational"/>
    <s v="Yes"/>
    <s v="Solarwind"/>
    <m/>
  </r>
  <r>
    <s v="RLLASAZDVJPLUXWEB "/>
    <s v="10.204.63.4"/>
    <x v="1"/>
    <m/>
    <s v="completed"/>
    <n v="9.4"/>
    <s v="Japan LUX Trunk"/>
    <s v="Hatano, Manabu "/>
    <s v="Azure"/>
    <s v="EAST ASIA"/>
    <s v="Development"/>
    <s v="Enterprise Unix Support"/>
    <m/>
    <m/>
    <s v="Suresh Konduru"/>
    <s v="Operational"/>
    <s v="Yes"/>
    <s v="Solarwind"/>
    <m/>
  </r>
  <r>
    <s v="RLLASAZDVJPLUXDB "/>
    <s v="10.204.63.5"/>
    <x v="1"/>
    <m/>
    <s v="completed"/>
    <n v="9.4"/>
    <s v="Japan LUX Trunk"/>
    <s v="Hatano, Manabu "/>
    <s v="Azure"/>
    <s v="EAST ASIA"/>
    <s v="Development"/>
    <s v="Enterprise Unix Support"/>
    <m/>
    <m/>
    <s v="Suresh Konduru"/>
    <s v="Operational"/>
    <s v="Yes"/>
    <s v="Solarwind"/>
    <m/>
  </r>
  <r>
    <s v="RLLAZEUD1MFT"/>
    <s v="10.196.14.4"/>
    <x v="1"/>
    <m/>
    <s v="completed"/>
    <n v="9.4"/>
    <s v="MFT-DEV-EMEA"/>
    <s v="Saber Mubarak"/>
    <s v="Azure"/>
    <s v="WEST EU"/>
    <s v="Development"/>
    <s v="Enterprise Unix Support"/>
    <m/>
    <m/>
    <s v="Suresh Konduru"/>
    <s v="Operational"/>
    <s v="Yes"/>
    <s v="Solarwind"/>
    <m/>
  </r>
  <r>
    <s v="RLLUSAZSIEMPROXY"/>
    <s v="10.201.11.21"/>
    <x v="1"/>
    <m/>
    <s v="completed"/>
    <n v="9.4"/>
    <s v="SIEMPROXY"/>
    <s v="Andreas Cortes"/>
    <s v="Azure"/>
    <s v="EAST US"/>
    <s v="Production"/>
    <s v="Enterprise Unix Support"/>
    <m/>
    <m/>
    <s v="Suresh Konduru"/>
    <s v="Operational"/>
    <s v="Yes"/>
    <s v="Solarwind"/>
    <m/>
  </r>
  <r>
    <s v="RLLAZEUQ1MFT"/>
    <s v="10.196.14.68"/>
    <x v="1"/>
    <m/>
    <s v="completed"/>
    <n v="9.4"/>
    <s v="MFT-QA-EMEA"/>
    <s v="Saber Mubarak"/>
    <s v="Azure"/>
    <s v="WEST EU"/>
    <s v="QA"/>
    <s v="Enterprise Unix Support"/>
    <m/>
    <m/>
    <s v="Suresh Konduru"/>
    <s v="Operational"/>
    <s v="Yes"/>
    <s v="Solarwind"/>
    <m/>
  </r>
  <r>
    <s v="RLLAZEUQ2MFT"/>
    <s v="10.196.14.69"/>
    <x v="1"/>
    <m/>
    <s v="completed"/>
    <n v="9.4"/>
    <s v="MFT-QA-EMEA"/>
    <s v="Saber Mubarak"/>
    <s v="Azure"/>
    <s v="WEST EU"/>
    <s v="QA"/>
    <s v="Enterprise Unix Support"/>
    <m/>
    <m/>
    <s v="Suresh Konduru"/>
    <s v="Operational"/>
    <s v="Yes"/>
    <s v="Solarwind"/>
    <m/>
  </r>
  <r>
    <s v="RllASAZPDMAWMS01"/>
    <s v="10.205.250.132"/>
    <x v="1"/>
    <m/>
    <s v="completed"/>
    <n v="9.4"/>
    <s v="Manhattan-active-wms"/>
    <s v="dominic leung"/>
    <s v="Azure"/>
    <s v="EAST ASIA"/>
    <s v="Production"/>
    <s v="Enterprise Unix Support"/>
    <m/>
    <m/>
    <s v="Suresh Konduru"/>
    <s v="Operational"/>
    <s v="Yes"/>
    <s v="Solarwind"/>
    <m/>
  </r>
  <r>
    <s v="RLLAZEUP1MFT"/>
    <s v="10.196.14.132"/>
    <x v="1"/>
    <m/>
    <s v="completed"/>
    <n v="9.4"/>
    <s v="MFT-PROD-EMEA"/>
    <s v="Saber Mubarak"/>
    <s v="Azure"/>
    <s v="WEST EU"/>
    <s v="Production"/>
    <s v="Enterprise Unix Support"/>
    <m/>
    <m/>
    <s v="Suresh Konduru"/>
    <s v="Operational"/>
    <s v="Yes"/>
    <s v="Solarwind"/>
    <m/>
  </r>
  <r>
    <s v="RLLAZEUP2MFT"/>
    <s v="10.196.14.133"/>
    <x v="1"/>
    <m/>
    <s v="completed"/>
    <n v="9.4"/>
    <s v="MFT-PROD-EMEA"/>
    <s v="Saber Mubarak"/>
    <s v="Azure"/>
    <s v="WEST EU"/>
    <s v="Production"/>
    <s v="Enterprise Unix Support"/>
    <m/>
    <m/>
    <s v="Suresh Konduru"/>
    <s v="Operational"/>
    <s v="Yes"/>
    <s v="Solarwind"/>
    <m/>
  </r>
  <r>
    <s v="rllp1vectra"/>
    <s v="10.98.33.20"/>
    <x v="1"/>
    <m/>
    <s v="completed"/>
    <n v="9.4"/>
    <s v="Vectra Syslog"/>
    <s v="Andreas Cortes"/>
    <s v="Onprem"/>
    <s v="GSO-NC"/>
    <s v="Production"/>
    <s v="Enterprise Unix Support"/>
    <m/>
    <m/>
    <s v="Suresh Konduru"/>
    <s v="Operational"/>
    <s v="Yes"/>
    <s v="Solarwind"/>
    <m/>
  </r>
  <r>
    <s v="RLLAZUSR7APP"/>
    <s v="10.201.11.41"/>
    <x v="1"/>
    <m/>
    <s v="completed"/>
    <n v="9.4"/>
    <s v="Rapid7 - app"/>
    <s v="Andreas Cortes"/>
    <s v="Azure"/>
    <s v="EAST US"/>
    <s v="Production"/>
    <s v="Enterprise Unix Support"/>
    <m/>
    <m/>
    <s v="Suresh Konduru"/>
    <s v="Operational"/>
    <s v="Yes"/>
    <s v="Solarwind"/>
    <m/>
  </r>
  <r>
    <s v="rllp1ovf"/>
    <s v="10.98.33.132"/>
    <x v="1"/>
    <m/>
    <s v="Upgrade completed"/>
    <n v="8.1"/>
    <s v="ItemSense"/>
    <s v="Michale Guzman"/>
    <s v="Onprem"/>
    <s v="GSO"/>
    <s v="Production"/>
    <s v="Enterprise Unix Support"/>
    <m/>
    <m/>
    <s v="Suresh Konduru"/>
    <s v="Operational"/>
    <s v="Yes"/>
    <s v="Solarwind"/>
    <m/>
  </r>
  <r>
    <s v="RLLAZUSQTOMCAT"/>
    <s v="10.203.13.199"/>
    <x v="1"/>
    <m/>
    <s v="completed"/>
    <n v="9.4"/>
    <s v="OMS - TOMCAT"/>
    <s v="Supradeep Shashidhar"/>
    <s v="Azure"/>
    <s v="EAST US"/>
    <s v="QA"/>
    <s v="Enterprise Unix Support"/>
    <m/>
    <m/>
    <s v="Suresh Konduru"/>
    <s v="Operational"/>
    <s v="Yes"/>
    <s v="Solarwind"/>
    <m/>
  </r>
  <r>
    <s v="RLLAZDEVSFCC"/>
    <s v="10.203.13.201"/>
    <x v="1"/>
    <m/>
    <s v="completed"/>
    <n v="9.5"/>
    <s v="OMS - SFCC"/>
    <s v="Bhavya R"/>
    <s v="Azure"/>
    <s v="EAST US"/>
    <s v="Development"/>
    <s v="Enterprise Unix Support"/>
    <m/>
    <m/>
    <s v="Suresh Konduru"/>
    <s v="Operational"/>
    <s v="Yes"/>
    <s v="Solarwind"/>
    <m/>
  </r>
  <r>
    <s v="RLLAZNAD1MFT"/>
    <s v="10.196.22.4"/>
    <x v="1"/>
    <m/>
    <s v="completed"/>
    <n v="9.4"/>
    <s v="Ansible + SonarQube + Jfrog + Git + Jenkins + ANT"/>
    <s v="Saber Mubarak"/>
    <s v="Azure"/>
    <s v="EAST US"/>
    <s v="Development"/>
    <s v="Enterprise Unix Support"/>
    <m/>
    <m/>
    <s v="Suresh Konduru"/>
    <s v="Operational"/>
    <s v="Yes"/>
    <s v="Solarwind"/>
    <m/>
  </r>
  <r>
    <s v="RLLAZUSQ1VSA"/>
    <s v="10.202.7.196"/>
    <x v="1"/>
    <m/>
    <s v="completed"/>
    <n v="9.5"/>
    <s v="Ansible + SonarQube + Jfrog + Git + Jenkins + ANT"/>
    <s v="Parikshit"/>
    <s v="Azure"/>
    <s v="EAST US"/>
    <s v="QA"/>
    <s v="Enterprise Unix Support"/>
    <m/>
    <m/>
    <s v="Suresh Konduru"/>
    <s v="Operational"/>
    <s v="Yes"/>
    <s v="Solarwind"/>
    <m/>
  </r>
  <r>
    <s v="RLLAZNAQ1MFT"/>
    <s v="10.196.22.68"/>
    <x v="1"/>
    <m/>
    <s v="completed"/>
    <n v="9.5"/>
    <s v="ESB"/>
    <s v="Saber Mubarak"/>
    <s v="Azure"/>
    <s v="EAST US"/>
    <s v="QA"/>
    <s v="Enterprise Unix Support"/>
    <m/>
    <m/>
    <s v="Suresh Konduru"/>
    <s v="Operational"/>
    <m/>
    <m/>
    <m/>
  </r>
  <r>
    <s v="RLLAZNAQ2MFT"/>
    <s v="10.196.22.69"/>
    <x v="1"/>
    <m/>
    <s v="completed"/>
    <n v="9.5"/>
    <s v="ESB"/>
    <s v="Saber Mubarak"/>
    <s v="Azure"/>
    <s v="EAST US"/>
    <s v="QA"/>
    <s v="Enterprise Unix Support"/>
    <m/>
    <m/>
    <s v="Suresh Konduru"/>
    <s v="Operational"/>
    <m/>
    <m/>
    <m/>
  </r>
  <r>
    <s v="RLLAZQAUSQERP"/>
    <s v="10.203.13.202"/>
    <x v="1"/>
    <m/>
    <s v="completed"/>
    <n v="9.6"/>
    <s v="Report Portal"/>
    <s v="Shivagiri K"/>
    <s v="Azure"/>
    <s v="EAST US"/>
    <s v="Development"/>
    <s v="Enterprise Unix Support"/>
    <m/>
    <m/>
    <s v="Suresh Konduru"/>
    <m/>
    <m/>
    <m/>
    <m/>
  </r>
  <r>
    <s v="RLLAZNAP2MFT "/>
    <s v="10.196.22.133"/>
    <x v="1"/>
    <m/>
    <s v="completed"/>
    <n v="9.6"/>
    <s v="ESB"/>
    <s v="Saber Mubarak"/>
    <s v="Azure"/>
    <s v="EAST US"/>
    <s v="Prod"/>
    <s v="Enterprise Unix Support"/>
    <m/>
    <m/>
    <s v="Suresh Konduru"/>
    <s v="Operational"/>
    <m/>
    <m/>
    <m/>
  </r>
  <r>
    <s v="RLLAZNAP1MFT"/>
    <s v="10.196.22.132 "/>
    <x v="1"/>
    <m/>
    <s v="completed"/>
    <n v="9.6"/>
    <s v="ESB"/>
    <s v="Saber Mubarak"/>
    <s v="Azure"/>
    <s v="EAST US"/>
    <s v="Prod"/>
    <s v="Enterprise Unix Support"/>
    <m/>
    <m/>
    <s v="Suresh Konduru"/>
    <s v="Operational"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s v="rllp1vgoapp-ilo"/>
    <s v="10.103.60.241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8vgoapp-ilo"/>
    <s v="10.103.60.248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7vgoapp-ilo"/>
    <s v="10.103.60.247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6vgoapp-ilo"/>
    <s v="10.103.60.246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s1vgoapp-ilo"/>
    <s v="10.103.60.252"/>
    <x v="3"/>
    <m/>
    <m/>
    <n v="7.9"/>
    <s v="Vargo Test-iLO"/>
    <s v="Ryan Larkins"/>
    <s v="Onprem"/>
    <s v="HPD"/>
    <s v="Test-iLo"/>
    <s v="Enterprise Unix Support"/>
    <d v="2021-07-08T10:10:00"/>
    <d v="2021-08-26T09:37:00"/>
    <s v="Suresh Konduru"/>
    <s v="Operational"/>
    <s v="No"/>
    <m/>
    <m/>
  </r>
  <r>
    <s v="rllp5vgoapp-ilo"/>
    <s v="10.103.60.245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4vgoapp-ilo"/>
    <s v="10.103.60.244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3vgoapp-ilo"/>
    <s v="10.103.60.243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2vgodb-ilo"/>
    <s v="10.103.60.250"/>
    <x v="3"/>
    <m/>
    <m/>
    <n v="7.9"/>
    <s v="Vargo DB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2vgoapp-ilo"/>
    <s v="10.103.60.242"/>
    <x v="3"/>
    <m/>
    <m/>
    <n v="7.9"/>
    <s v="Vargo Application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s v="rllp1vgodb-ilo"/>
    <s v="10.103.60.249"/>
    <x v="3"/>
    <m/>
    <m/>
    <n v="7.9"/>
    <s v="Vargo DB-iLO"/>
    <s v="Ryan Larkins"/>
    <s v="Onprem"/>
    <s v="HPD"/>
    <s v="Production-iLo"/>
    <s v="Enterprise Unix Support"/>
    <d v="2021-07-08T10:10:00"/>
    <d v="2021-08-26T09:37:00"/>
    <s v="Suresh Konduru"/>
    <s v="Operational"/>
    <s v="No"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  <r>
    <m/>
    <m/>
    <x v="2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AE8B5-C8A3-4B23-A2AA-AF3746C4CA5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H4" firstHeaderRow="1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7">
        <item x="1"/>
        <item x="3"/>
        <item x="4"/>
        <item x="5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O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684E7-25B6-4757-982C-9EBB180ED91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F13" firstHeaderRow="1" firstDataRow="2" firstDataCol="1"/>
  <pivotFields count="19"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D870-D1AB-4AF9-9865-2EA16739A449}">
  <dimension ref="A1:S118"/>
  <sheetViews>
    <sheetView workbookViewId="0">
      <pane xSplit="1" topLeftCell="B1" activePane="topRight" state="frozen"/>
      <selection pane="topRight" activeCell="A47" sqref="A47"/>
    </sheetView>
  </sheetViews>
  <sheetFormatPr baseColWidth="10" defaultColWidth="9.1640625" defaultRowHeight="15" customHeight="1"/>
  <cols>
    <col min="1" max="1" width="26.33203125" style="5" bestFit="1" customWidth="1"/>
    <col min="2" max="2" width="13.6640625" style="5" bestFit="1" customWidth="1"/>
    <col min="3" max="3" width="12.1640625" style="5" bestFit="1" customWidth="1"/>
    <col min="4" max="4" width="13.6640625" style="5" customWidth="1"/>
    <col min="5" max="5" width="21.5" style="5" customWidth="1"/>
    <col min="6" max="6" width="9.1640625" style="5" customWidth="1"/>
    <col min="7" max="7" width="48.6640625" style="5" customWidth="1"/>
    <col min="8" max="8" width="21.6640625" style="5" bestFit="1" customWidth="1"/>
    <col min="9" max="9" width="21.6640625" style="5" customWidth="1"/>
    <col min="10" max="10" width="9.1640625" style="5"/>
    <col min="11" max="11" width="12" style="5" bestFit="1" customWidth="1"/>
    <col min="12" max="12" width="20.5" style="5" customWidth="1"/>
    <col min="13" max="13" width="14.1640625" style="5" bestFit="1" customWidth="1"/>
    <col min="14" max="14" width="14.83203125" style="5" bestFit="1" customWidth="1"/>
    <col min="15" max="15" width="14.6640625" style="5" customWidth="1"/>
    <col min="16" max="16" width="17.1640625" style="5" bestFit="1" customWidth="1"/>
    <col min="17" max="17" width="9.1640625" style="5"/>
    <col min="18" max="18" width="15" style="5" customWidth="1"/>
    <col min="19" max="19" width="18.83203125" style="5" customWidth="1"/>
    <col min="20" max="16384" width="9.1640625" style="5"/>
  </cols>
  <sheetData>
    <row r="1" spans="1:19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24" t="s">
        <v>5</v>
      </c>
    </row>
    <row r="2" spans="1:19">
      <c r="A2" s="95" t="s">
        <v>18</v>
      </c>
      <c r="B2" s="96" t="s">
        <v>19</v>
      </c>
      <c r="C2" s="96" t="s">
        <v>20</v>
      </c>
      <c r="D2" s="96"/>
      <c r="E2" s="96" t="s">
        <v>21</v>
      </c>
      <c r="F2" s="96">
        <v>15.6</v>
      </c>
      <c r="G2" s="96" t="s">
        <v>22</v>
      </c>
      <c r="H2" s="96" t="s">
        <v>23</v>
      </c>
      <c r="I2" s="96" t="s">
        <v>24</v>
      </c>
      <c r="J2" s="96" t="s">
        <v>25</v>
      </c>
      <c r="K2" s="96" t="s">
        <v>26</v>
      </c>
      <c r="L2" s="96" t="s">
        <v>27</v>
      </c>
      <c r="M2" s="97">
        <v>41314.75277777778</v>
      </c>
      <c r="N2" s="97">
        <v>44434.400694444441</v>
      </c>
      <c r="O2" s="96" t="s">
        <v>28</v>
      </c>
      <c r="P2" s="96" t="s">
        <v>29</v>
      </c>
      <c r="Q2" s="96" t="s">
        <v>30</v>
      </c>
      <c r="R2" s="26" t="s">
        <v>31</v>
      </c>
      <c r="S2" s="28">
        <f>TRUNC(F2,0)</f>
        <v>15</v>
      </c>
    </row>
    <row r="3" spans="1:19">
      <c r="A3" s="95" t="s">
        <v>32</v>
      </c>
      <c r="B3" s="96" t="s">
        <v>33</v>
      </c>
      <c r="C3" s="96" t="s">
        <v>34</v>
      </c>
      <c r="D3" s="96"/>
      <c r="E3" s="96" t="s">
        <v>35</v>
      </c>
      <c r="F3" s="98">
        <v>8.1</v>
      </c>
      <c r="G3" s="96" t="s">
        <v>36</v>
      </c>
      <c r="H3" s="96" t="s">
        <v>37</v>
      </c>
      <c r="I3" s="96" t="s">
        <v>24</v>
      </c>
      <c r="J3" s="96" t="s">
        <v>25</v>
      </c>
      <c r="K3" s="96" t="s">
        <v>26</v>
      </c>
      <c r="L3" s="96" t="s">
        <v>27</v>
      </c>
      <c r="M3" s="97">
        <v>44160.229861111111</v>
      </c>
      <c r="N3" s="97">
        <v>44434.400694444441</v>
      </c>
      <c r="O3" s="96" t="s">
        <v>28</v>
      </c>
      <c r="P3" s="96" t="s">
        <v>29</v>
      </c>
      <c r="Q3" s="96" t="s">
        <v>30</v>
      </c>
      <c r="R3" s="26" t="s">
        <v>31</v>
      </c>
      <c r="S3" s="28">
        <f t="shared" ref="S3:S66" si="0">TRUNC(F3,0)</f>
        <v>8</v>
      </c>
    </row>
    <row r="4" spans="1:19">
      <c r="A4" s="95" t="s">
        <v>38</v>
      </c>
      <c r="B4" s="96" t="s">
        <v>39</v>
      </c>
      <c r="C4" s="96" t="s">
        <v>34</v>
      </c>
      <c r="D4" s="96"/>
      <c r="E4" s="96" t="s">
        <v>40</v>
      </c>
      <c r="F4" s="98">
        <v>8.1</v>
      </c>
      <c r="G4" s="96" t="s">
        <v>41</v>
      </c>
      <c r="H4" s="96" t="s">
        <v>42</v>
      </c>
      <c r="I4" s="96" t="s">
        <v>24</v>
      </c>
      <c r="J4" s="96" t="s">
        <v>25</v>
      </c>
      <c r="K4" s="96" t="s">
        <v>43</v>
      </c>
      <c r="L4" s="96" t="s">
        <v>27</v>
      </c>
      <c r="M4" s="97">
        <v>43173.308333333334</v>
      </c>
      <c r="N4" s="97">
        <v>44439.251388888886</v>
      </c>
      <c r="O4" s="96" t="s">
        <v>28</v>
      </c>
      <c r="P4" s="96" t="s">
        <v>29</v>
      </c>
      <c r="Q4" s="96" t="s">
        <v>30</v>
      </c>
      <c r="R4" s="26" t="s">
        <v>31</v>
      </c>
      <c r="S4" s="28">
        <f t="shared" si="0"/>
        <v>8</v>
      </c>
    </row>
    <row r="5" spans="1:19">
      <c r="A5" s="95" t="s">
        <v>44</v>
      </c>
      <c r="B5" s="96" t="s">
        <v>45</v>
      </c>
      <c r="C5" s="96" t="s">
        <v>34</v>
      </c>
      <c r="D5" s="96"/>
      <c r="E5" s="96" t="s">
        <v>40</v>
      </c>
      <c r="F5" s="98">
        <v>8.1</v>
      </c>
      <c r="G5" s="96" t="s">
        <v>41</v>
      </c>
      <c r="H5" s="96" t="s">
        <v>42</v>
      </c>
      <c r="I5" s="96" t="s">
        <v>24</v>
      </c>
      <c r="J5" s="96" t="s">
        <v>25</v>
      </c>
      <c r="K5" s="96" t="s">
        <v>26</v>
      </c>
      <c r="L5" s="96" t="s">
        <v>27</v>
      </c>
      <c r="M5" s="97">
        <v>43173.308333333334</v>
      </c>
      <c r="N5" s="97">
        <v>44439.251388888886</v>
      </c>
      <c r="O5" s="96" t="s">
        <v>28</v>
      </c>
      <c r="P5" s="96" t="s">
        <v>29</v>
      </c>
      <c r="Q5" s="96" t="s">
        <v>30</v>
      </c>
      <c r="R5" s="26" t="s">
        <v>31</v>
      </c>
      <c r="S5" s="28">
        <f t="shared" si="0"/>
        <v>8</v>
      </c>
    </row>
    <row r="6" spans="1:19">
      <c r="A6" s="95" t="s">
        <v>46</v>
      </c>
      <c r="B6" s="96" t="s">
        <v>47</v>
      </c>
      <c r="C6" s="96" t="s">
        <v>34</v>
      </c>
      <c r="D6" s="96"/>
      <c r="E6" s="96" t="s">
        <v>21</v>
      </c>
      <c r="F6" s="96">
        <v>8.8000000000000007</v>
      </c>
      <c r="G6" s="96" t="s">
        <v>41</v>
      </c>
      <c r="H6" s="96" t="s">
        <v>42</v>
      </c>
      <c r="I6" s="96" t="s">
        <v>24</v>
      </c>
      <c r="J6" s="96" t="s">
        <v>25</v>
      </c>
      <c r="K6" s="96" t="s">
        <v>26</v>
      </c>
      <c r="L6" s="96" t="s">
        <v>27</v>
      </c>
      <c r="M6" s="97">
        <v>43173.308333333334</v>
      </c>
      <c r="N6" s="97">
        <v>44439.251388888886</v>
      </c>
      <c r="O6" s="96" t="s">
        <v>28</v>
      </c>
      <c r="P6" s="96" t="s">
        <v>29</v>
      </c>
      <c r="Q6" s="96" t="s">
        <v>30</v>
      </c>
      <c r="R6" s="26" t="s">
        <v>31</v>
      </c>
      <c r="S6" s="28">
        <f t="shared" si="0"/>
        <v>8</v>
      </c>
    </row>
    <row r="7" spans="1:19">
      <c r="A7" s="95" t="s">
        <v>48</v>
      </c>
      <c r="B7" s="96" t="s">
        <v>49</v>
      </c>
      <c r="C7" s="96" t="s">
        <v>34</v>
      </c>
      <c r="D7" s="96"/>
      <c r="E7" s="96" t="s">
        <v>40</v>
      </c>
      <c r="F7" s="98">
        <v>8.1</v>
      </c>
      <c r="G7" s="96" t="s">
        <v>41</v>
      </c>
      <c r="H7" s="96" t="s">
        <v>42</v>
      </c>
      <c r="I7" s="96" t="s">
        <v>24</v>
      </c>
      <c r="J7" s="96" t="s">
        <v>25</v>
      </c>
      <c r="K7" s="96" t="s">
        <v>43</v>
      </c>
      <c r="L7" s="96" t="s">
        <v>27</v>
      </c>
      <c r="M7" s="97">
        <v>43273.498611111114</v>
      </c>
      <c r="N7" s="97">
        <v>44439.251388888886</v>
      </c>
      <c r="O7" s="96" t="s">
        <v>28</v>
      </c>
      <c r="P7" s="96" t="s">
        <v>29</v>
      </c>
      <c r="Q7" s="96" t="s">
        <v>30</v>
      </c>
      <c r="R7" s="26" t="s">
        <v>31</v>
      </c>
      <c r="S7" s="28">
        <f t="shared" si="0"/>
        <v>8</v>
      </c>
    </row>
    <row r="8" spans="1:19">
      <c r="A8" s="95" t="s">
        <v>50</v>
      </c>
      <c r="B8" s="96" t="s">
        <v>51</v>
      </c>
      <c r="C8" s="96" t="s">
        <v>34</v>
      </c>
      <c r="D8" s="96"/>
      <c r="E8" s="96" t="s">
        <v>40</v>
      </c>
      <c r="F8" s="98">
        <v>8.1</v>
      </c>
      <c r="G8" s="96" t="s">
        <v>41</v>
      </c>
      <c r="H8" s="96" t="s">
        <v>42</v>
      </c>
      <c r="I8" s="96" t="s">
        <v>24</v>
      </c>
      <c r="J8" s="96" t="s">
        <v>25</v>
      </c>
      <c r="K8" s="96" t="s">
        <v>26</v>
      </c>
      <c r="L8" s="96" t="s">
        <v>27</v>
      </c>
      <c r="M8" s="97">
        <v>43273.498611111114</v>
      </c>
      <c r="N8" s="97">
        <v>44439.251388888886</v>
      </c>
      <c r="O8" s="96" t="s">
        <v>28</v>
      </c>
      <c r="P8" s="96" t="s">
        <v>29</v>
      </c>
      <c r="Q8" s="96" t="s">
        <v>30</v>
      </c>
      <c r="R8" s="26" t="s">
        <v>31</v>
      </c>
      <c r="S8" s="28">
        <f t="shared" si="0"/>
        <v>8</v>
      </c>
    </row>
    <row r="9" spans="1:19">
      <c r="A9" s="95" t="s">
        <v>52</v>
      </c>
      <c r="B9" s="96" t="s">
        <v>53</v>
      </c>
      <c r="C9" s="96" t="s">
        <v>34</v>
      </c>
      <c r="D9" s="96"/>
      <c r="E9" s="96" t="s">
        <v>21</v>
      </c>
      <c r="F9" s="96">
        <v>8.8000000000000007</v>
      </c>
      <c r="G9" s="96" t="s">
        <v>41</v>
      </c>
      <c r="H9" s="96" t="s">
        <v>42</v>
      </c>
      <c r="I9" s="96" t="s">
        <v>24</v>
      </c>
      <c r="J9" s="96" t="s">
        <v>25</v>
      </c>
      <c r="K9" s="96" t="s">
        <v>26</v>
      </c>
      <c r="L9" s="96" t="s">
        <v>27</v>
      </c>
      <c r="M9" s="97">
        <v>43452.197222222225</v>
      </c>
      <c r="N9" s="97">
        <v>44439.251388888886</v>
      </c>
      <c r="O9" s="96" t="s">
        <v>28</v>
      </c>
      <c r="P9" s="96" t="s">
        <v>29</v>
      </c>
      <c r="Q9" s="96" t="s">
        <v>30</v>
      </c>
      <c r="R9" s="26" t="s">
        <v>31</v>
      </c>
      <c r="S9" s="28">
        <f t="shared" si="0"/>
        <v>8</v>
      </c>
    </row>
    <row r="10" spans="1:19">
      <c r="A10" s="95" t="s">
        <v>54</v>
      </c>
      <c r="B10" s="96" t="s">
        <v>55</v>
      </c>
      <c r="C10" s="96" t="s">
        <v>34</v>
      </c>
      <c r="D10" s="96"/>
      <c r="E10" s="96"/>
      <c r="F10" s="96">
        <v>8.8000000000000007</v>
      </c>
      <c r="G10" s="96" t="s">
        <v>56</v>
      </c>
      <c r="H10" s="96" t="s">
        <v>57</v>
      </c>
      <c r="I10" s="96" t="s">
        <v>24</v>
      </c>
      <c r="J10" s="96" t="s">
        <v>25</v>
      </c>
      <c r="K10" s="96" t="s">
        <v>43</v>
      </c>
      <c r="L10" s="96" t="s">
        <v>27</v>
      </c>
      <c r="M10" s="97">
        <v>44232.274305555555</v>
      </c>
      <c r="N10" s="97">
        <v>44434.400694444441</v>
      </c>
      <c r="O10" s="96" t="s">
        <v>28</v>
      </c>
      <c r="P10" s="96" t="s">
        <v>29</v>
      </c>
      <c r="Q10" s="96" t="s">
        <v>30</v>
      </c>
      <c r="R10" s="26" t="s">
        <v>31</v>
      </c>
      <c r="S10" s="28">
        <f t="shared" si="0"/>
        <v>8</v>
      </c>
    </row>
    <row r="11" spans="1:19">
      <c r="A11" s="95" t="s">
        <v>58</v>
      </c>
      <c r="B11" s="96" t="s">
        <v>59</v>
      </c>
      <c r="C11" s="96" t="s">
        <v>34</v>
      </c>
      <c r="D11" s="96"/>
      <c r="E11" s="96" t="s">
        <v>21</v>
      </c>
      <c r="F11" s="96">
        <v>8.8000000000000007</v>
      </c>
      <c r="G11" s="96" t="s">
        <v>60</v>
      </c>
      <c r="H11" s="96" t="s">
        <v>42</v>
      </c>
      <c r="I11" s="96" t="s">
        <v>24</v>
      </c>
      <c r="J11" s="96" t="s">
        <v>25</v>
      </c>
      <c r="K11" s="96" t="s">
        <v>43</v>
      </c>
      <c r="L11" s="96" t="s">
        <v>27</v>
      </c>
      <c r="M11" s="97">
        <v>42886.256944444445</v>
      </c>
      <c r="N11" s="97">
        <v>44439.25277777778</v>
      </c>
      <c r="O11" s="96" t="s">
        <v>28</v>
      </c>
      <c r="P11" s="96" t="s">
        <v>29</v>
      </c>
      <c r="Q11" s="96" t="s">
        <v>30</v>
      </c>
      <c r="R11" s="26" t="s">
        <v>31</v>
      </c>
      <c r="S11" s="28">
        <f t="shared" si="0"/>
        <v>8</v>
      </c>
    </row>
    <row r="12" spans="1:19">
      <c r="A12" s="95" t="s">
        <v>61</v>
      </c>
      <c r="B12" s="96" t="s">
        <v>62</v>
      </c>
      <c r="C12" s="96" t="s">
        <v>34</v>
      </c>
      <c r="D12" s="96"/>
      <c r="E12" s="96" t="s">
        <v>21</v>
      </c>
      <c r="F12" s="96">
        <v>8.8000000000000007</v>
      </c>
      <c r="G12" s="96" t="s">
        <v>60</v>
      </c>
      <c r="H12" s="96" t="s">
        <v>42</v>
      </c>
      <c r="I12" s="96" t="s">
        <v>24</v>
      </c>
      <c r="J12" s="96" t="s">
        <v>25</v>
      </c>
      <c r="K12" s="96" t="s">
        <v>43</v>
      </c>
      <c r="L12" s="96" t="s">
        <v>27</v>
      </c>
      <c r="M12" s="97">
        <v>43273.498611111114</v>
      </c>
      <c r="N12" s="97">
        <v>44434.400694444441</v>
      </c>
      <c r="O12" s="96" t="s">
        <v>28</v>
      </c>
      <c r="P12" s="96" t="s">
        <v>29</v>
      </c>
      <c r="Q12" s="96" t="s">
        <v>30</v>
      </c>
      <c r="R12" s="26" t="s">
        <v>31</v>
      </c>
      <c r="S12" s="28">
        <f t="shared" si="0"/>
        <v>8</v>
      </c>
    </row>
    <row r="13" spans="1:19">
      <c r="A13" s="95" t="s">
        <v>63</v>
      </c>
      <c r="B13" s="96" t="s">
        <v>64</v>
      </c>
      <c r="C13" s="96" t="s">
        <v>34</v>
      </c>
      <c r="D13" s="96"/>
      <c r="E13" s="96"/>
      <c r="F13" s="96">
        <v>8.8000000000000007</v>
      </c>
      <c r="G13" s="96" t="s">
        <v>56</v>
      </c>
      <c r="H13" s="96" t="s">
        <v>57</v>
      </c>
      <c r="I13" s="96" t="s">
        <v>24</v>
      </c>
      <c r="J13" s="96" t="s">
        <v>25</v>
      </c>
      <c r="K13" s="96" t="s">
        <v>43</v>
      </c>
      <c r="L13" s="96" t="s">
        <v>27</v>
      </c>
      <c r="M13" s="97">
        <v>44232.273611111108</v>
      </c>
      <c r="N13" s="97">
        <v>44434.400694444441</v>
      </c>
      <c r="O13" s="96" t="s">
        <v>28</v>
      </c>
      <c r="P13" s="96" t="s">
        <v>29</v>
      </c>
      <c r="Q13" s="96" t="s">
        <v>30</v>
      </c>
      <c r="R13" s="26" t="s">
        <v>31</v>
      </c>
      <c r="S13" s="28">
        <f t="shared" si="0"/>
        <v>8</v>
      </c>
    </row>
    <row r="14" spans="1:19">
      <c r="A14" s="95" t="s">
        <v>65</v>
      </c>
      <c r="B14" s="96" t="s">
        <v>66</v>
      </c>
      <c r="C14" s="96" t="s">
        <v>20</v>
      </c>
      <c r="D14" s="96"/>
      <c r="E14" s="96" t="s">
        <v>21</v>
      </c>
      <c r="F14" s="96">
        <v>15.6</v>
      </c>
      <c r="G14" s="96" t="s">
        <v>67</v>
      </c>
      <c r="H14" s="96" t="s">
        <v>68</v>
      </c>
      <c r="I14" s="96" t="s">
        <v>24</v>
      </c>
      <c r="J14" s="96" t="s">
        <v>25</v>
      </c>
      <c r="K14" s="96" t="s">
        <v>43</v>
      </c>
      <c r="L14" s="96" t="s">
        <v>27</v>
      </c>
      <c r="M14" s="97">
        <v>42957.479861111111</v>
      </c>
      <c r="N14" s="97">
        <v>44434.400694444441</v>
      </c>
      <c r="O14" s="96" t="s">
        <v>28</v>
      </c>
      <c r="P14" s="96" t="s">
        <v>29</v>
      </c>
      <c r="Q14" s="96" t="s">
        <v>30</v>
      </c>
      <c r="R14" s="26" t="s">
        <v>31</v>
      </c>
      <c r="S14" s="28">
        <f t="shared" si="0"/>
        <v>15</v>
      </c>
    </row>
    <row r="15" spans="1:19">
      <c r="A15" s="95" t="s">
        <v>69</v>
      </c>
      <c r="B15" s="96" t="s">
        <v>70</v>
      </c>
      <c r="C15" s="96" t="s">
        <v>20</v>
      </c>
      <c r="D15" s="96"/>
      <c r="E15" s="96" t="s">
        <v>21</v>
      </c>
      <c r="F15" s="96">
        <v>15.6</v>
      </c>
      <c r="G15" s="96" t="s">
        <v>71</v>
      </c>
      <c r="H15" s="96" t="s">
        <v>23</v>
      </c>
      <c r="I15" s="96" t="s">
        <v>24</v>
      </c>
      <c r="J15" s="96" t="s">
        <v>25</v>
      </c>
      <c r="K15" s="96" t="s">
        <v>43</v>
      </c>
      <c r="L15" s="96" t="s">
        <v>27</v>
      </c>
      <c r="M15" s="97">
        <v>42957.479861111111</v>
      </c>
      <c r="N15" s="97">
        <v>44434.400694444441</v>
      </c>
      <c r="O15" s="96" t="s">
        <v>28</v>
      </c>
      <c r="P15" s="96" t="s">
        <v>29</v>
      </c>
      <c r="Q15" s="96" t="s">
        <v>30</v>
      </c>
      <c r="R15" s="26" t="s">
        <v>31</v>
      </c>
      <c r="S15" s="28">
        <f t="shared" si="0"/>
        <v>15</v>
      </c>
    </row>
    <row r="16" spans="1:19">
      <c r="A16" s="95" t="s">
        <v>72</v>
      </c>
      <c r="B16" s="96" t="s">
        <v>73</v>
      </c>
      <c r="C16" s="96" t="s">
        <v>34</v>
      </c>
      <c r="D16" s="96"/>
      <c r="E16" s="96"/>
      <c r="F16" s="96">
        <v>8.8000000000000007</v>
      </c>
      <c r="G16" s="96" t="s">
        <v>56</v>
      </c>
      <c r="H16" s="96" t="s">
        <v>57</v>
      </c>
      <c r="I16" s="96" t="s">
        <v>24</v>
      </c>
      <c r="J16" s="96" t="s">
        <v>25</v>
      </c>
      <c r="K16" s="96" t="s">
        <v>26</v>
      </c>
      <c r="L16" s="96" t="s">
        <v>27</v>
      </c>
      <c r="M16" s="97">
        <v>44365.259027777778</v>
      </c>
      <c r="N16" s="97">
        <v>44434.400694444441</v>
      </c>
      <c r="O16" s="96" t="s">
        <v>28</v>
      </c>
      <c r="P16" s="96" t="s">
        <v>29</v>
      </c>
      <c r="Q16" s="96" t="s">
        <v>30</v>
      </c>
      <c r="R16" s="26" t="s">
        <v>31</v>
      </c>
      <c r="S16" s="28">
        <f t="shared" si="0"/>
        <v>8</v>
      </c>
    </row>
    <row r="17" spans="1:19">
      <c r="A17" s="95" t="s">
        <v>74</v>
      </c>
      <c r="B17" s="96" t="s">
        <v>75</v>
      </c>
      <c r="C17" s="96" t="s">
        <v>34</v>
      </c>
      <c r="D17" s="96" t="s">
        <v>21</v>
      </c>
      <c r="E17" s="96" t="s">
        <v>21</v>
      </c>
      <c r="F17" s="98">
        <v>8.1</v>
      </c>
      <c r="G17" s="96" t="s">
        <v>76</v>
      </c>
      <c r="H17" s="96" t="s">
        <v>77</v>
      </c>
      <c r="I17" s="96" t="s">
        <v>24</v>
      </c>
      <c r="J17" s="96" t="s">
        <v>25</v>
      </c>
      <c r="K17" s="96" t="s">
        <v>26</v>
      </c>
      <c r="L17" s="96" t="s">
        <v>27</v>
      </c>
      <c r="M17" s="97">
        <v>42886.256944444445</v>
      </c>
      <c r="N17" s="97">
        <v>44434.400694444441</v>
      </c>
      <c r="O17" s="96" t="s">
        <v>28</v>
      </c>
      <c r="P17" s="96" t="s">
        <v>29</v>
      </c>
      <c r="Q17" s="96" t="s">
        <v>30</v>
      </c>
      <c r="R17" s="26" t="s">
        <v>31</v>
      </c>
      <c r="S17" s="28">
        <f t="shared" si="0"/>
        <v>8</v>
      </c>
    </row>
    <row r="18" spans="1:19">
      <c r="A18" s="95" t="s">
        <v>78</v>
      </c>
      <c r="B18" s="96" t="s">
        <v>79</v>
      </c>
      <c r="C18" s="96" t="s">
        <v>34</v>
      </c>
      <c r="D18" s="96" t="s">
        <v>21</v>
      </c>
      <c r="E18" s="96" t="s">
        <v>21</v>
      </c>
      <c r="F18" s="98">
        <v>8.1</v>
      </c>
      <c r="G18" s="96" t="s">
        <v>76</v>
      </c>
      <c r="H18" s="96" t="s">
        <v>77</v>
      </c>
      <c r="I18" s="96" t="s">
        <v>24</v>
      </c>
      <c r="J18" s="96" t="s">
        <v>25</v>
      </c>
      <c r="K18" s="96" t="s">
        <v>26</v>
      </c>
      <c r="L18" s="96" t="s">
        <v>27</v>
      </c>
      <c r="M18" s="97">
        <v>42313.854166666664</v>
      </c>
      <c r="N18" s="97">
        <v>44434.400694444441</v>
      </c>
      <c r="O18" s="96" t="s">
        <v>28</v>
      </c>
      <c r="P18" s="96" t="s">
        <v>29</v>
      </c>
      <c r="Q18" s="96" t="s">
        <v>30</v>
      </c>
      <c r="R18" s="26" t="s">
        <v>31</v>
      </c>
      <c r="S18" s="28">
        <f t="shared" si="0"/>
        <v>8</v>
      </c>
    </row>
    <row r="19" spans="1:19">
      <c r="A19" s="95" t="s">
        <v>80</v>
      </c>
      <c r="B19" s="96" t="s">
        <v>81</v>
      </c>
      <c r="C19" s="96" t="s">
        <v>34</v>
      </c>
      <c r="D19" s="96"/>
      <c r="E19" s="96" t="s">
        <v>21</v>
      </c>
      <c r="F19" s="96">
        <v>8.8000000000000007</v>
      </c>
      <c r="G19" s="96" t="s">
        <v>82</v>
      </c>
      <c r="H19" s="96" t="s">
        <v>28</v>
      </c>
      <c r="I19" s="96" t="s">
        <v>24</v>
      </c>
      <c r="J19" s="96" t="s">
        <v>25</v>
      </c>
      <c r="K19" s="96" t="s">
        <v>26</v>
      </c>
      <c r="L19" s="96" t="s">
        <v>27</v>
      </c>
      <c r="M19" s="97">
        <v>43452.197222222225</v>
      </c>
      <c r="N19" s="97">
        <v>44434.400694444441</v>
      </c>
      <c r="O19" s="96" t="s">
        <v>28</v>
      </c>
      <c r="P19" s="96" t="s">
        <v>29</v>
      </c>
      <c r="Q19" s="96" t="s">
        <v>30</v>
      </c>
      <c r="R19" s="26" t="s">
        <v>31</v>
      </c>
      <c r="S19" s="28">
        <f t="shared" si="0"/>
        <v>8</v>
      </c>
    </row>
    <row r="20" spans="1:19">
      <c r="A20" s="95" t="s">
        <v>83</v>
      </c>
      <c r="B20" s="96" t="s">
        <v>84</v>
      </c>
      <c r="C20" s="96" t="s">
        <v>34</v>
      </c>
      <c r="D20" s="96"/>
      <c r="E20" s="96"/>
      <c r="F20" s="96">
        <v>8.8000000000000007</v>
      </c>
      <c r="G20" s="96" t="s">
        <v>56</v>
      </c>
      <c r="H20" s="96" t="s">
        <v>57</v>
      </c>
      <c r="I20" s="96" t="s">
        <v>24</v>
      </c>
      <c r="J20" s="96" t="s">
        <v>25</v>
      </c>
      <c r="K20" s="96" t="s">
        <v>26</v>
      </c>
      <c r="L20" s="96" t="s">
        <v>27</v>
      </c>
      <c r="M20" s="97">
        <v>44365.259027777778</v>
      </c>
      <c r="N20" s="97">
        <v>44434.400694444441</v>
      </c>
      <c r="O20" s="96" t="s">
        <v>28</v>
      </c>
      <c r="P20" s="96" t="s">
        <v>29</v>
      </c>
      <c r="Q20" s="96" t="s">
        <v>30</v>
      </c>
      <c r="R20" s="26" t="s">
        <v>31</v>
      </c>
      <c r="S20" s="28">
        <f t="shared" si="0"/>
        <v>8</v>
      </c>
    </row>
    <row r="21" spans="1:19">
      <c r="A21" s="95" t="s">
        <v>85</v>
      </c>
      <c r="B21" s="96" t="s">
        <v>86</v>
      </c>
      <c r="C21" s="96" t="s">
        <v>34</v>
      </c>
      <c r="D21" s="96"/>
      <c r="E21" s="96" t="s">
        <v>35</v>
      </c>
      <c r="F21" s="96">
        <v>8.8000000000000007</v>
      </c>
      <c r="G21" s="96" t="s">
        <v>87</v>
      </c>
      <c r="H21" s="96" t="s">
        <v>42</v>
      </c>
      <c r="I21" s="96" t="s">
        <v>24</v>
      </c>
      <c r="J21" s="96" t="s">
        <v>25</v>
      </c>
      <c r="K21" s="96" t="s">
        <v>26</v>
      </c>
      <c r="L21" s="96" t="s">
        <v>27</v>
      </c>
      <c r="M21" s="97">
        <v>42886.256944444445</v>
      </c>
      <c r="N21" s="97">
        <v>44439.254861111112</v>
      </c>
      <c r="O21" s="96" t="s">
        <v>28</v>
      </c>
      <c r="P21" s="96" t="s">
        <v>29</v>
      </c>
      <c r="Q21" s="96" t="s">
        <v>30</v>
      </c>
      <c r="R21" s="26" t="s">
        <v>31</v>
      </c>
      <c r="S21" s="28">
        <f t="shared" si="0"/>
        <v>8</v>
      </c>
    </row>
    <row r="22" spans="1:19">
      <c r="A22" s="95" t="s">
        <v>88</v>
      </c>
      <c r="B22" s="96" t="s">
        <v>89</v>
      </c>
      <c r="C22" s="96" t="s">
        <v>34</v>
      </c>
      <c r="D22" s="96"/>
      <c r="E22" s="96"/>
      <c r="F22" s="96">
        <v>8.8000000000000007</v>
      </c>
      <c r="G22" s="96" t="s">
        <v>56</v>
      </c>
      <c r="H22" s="96" t="s">
        <v>57</v>
      </c>
      <c r="I22" s="96" t="s">
        <v>24</v>
      </c>
      <c r="J22" s="96" t="s">
        <v>25</v>
      </c>
      <c r="K22" s="96" t="s">
        <v>26</v>
      </c>
      <c r="L22" s="96" t="s">
        <v>27</v>
      </c>
      <c r="M22" s="97">
        <v>44369.463194444441</v>
      </c>
      <c r="N22" s="97">
        <v>44434.400694444441</v>
      </c>
      <c r="O22" s="96" t="s">
        <v>28</v>
      </c>
      <c r="P22" s="96" t="s">
        <v>29</v>
      </c>
      <c r="Q22" s="96" t="s">
        <v>30</v>
      </c>
      <c r="R22" s="26" t="s">
        <v>31</v>
      </c>
      <c r="S22" s="28">
        <f t="shared" si="0"/>
        <v>8</v>
      </c>
    </row>
    <row r="23" spans="1:19">
      <c r="A23" s="95" t="s">
        <v>90</v>
      </c>
      <c r="B23" s="96" t="s">
        <v>91</v>
      </c>
      <c r="C23" s="96" t="s">
        <v>34</v>
      </c>
      <c r="D23" s="96"/>
      <c r="E23" s="96" t="s">
        <v>35</v>
      </c>
      <c r="F23" s="96">
        <v>8.9</v>
      </c>
      <c r="G23" s="96" t="s">
        <v>92</v>
      </c>
      <c r="H23" s="96" t="s">
        <v>93</v>
      </c>
      <c r="I23" s="96" t="s">
        <v>24</v>
      </c>
      <c r="J23" s="96" t="s">
        <v>25</v>
      </c>
      <c r="K23" s="96" t="s">
        <v>26</v>
      </c>
      <c r="L23" s="96" t="s">
        <v>27</v>
      </c>
      <c r="M23" s="97">
        <v>43287.338888888888</v>
      </c>
      <c r="N23" s="97">
        <v>44434.400694444441</v>
      </c>
      <c r="O23" s="96" t="s">
        <v>28</v>
      </c>
      <c r="P23" s="96" t="s">
        <v>29</v>
      </c>
      <c r="Q23" s="96" t="s">
        <v>30</v>
      </c>
      <c r="R23" s="26" t="s">
        <v>31</v>
      </c>
      <c r="S23" s="28">
        <f t="shared" si="0"/>
        <v>8</v>
      </c>
    </row>
    <row r="24" spans="1:19">
      <c r="A24" s="95" t="s">
        <v>94</v>
      </c>
      <c r="B24" s="96" t="s">
        <v>95</v>
      </c>
      <c r="C24" s="96" t="s">
        <v>34</v>
      </c>
      <c r="D24" s="96"/>
      <c r="E24" s="96" t="s">
        <v>21</v>
      </c>
      <c r="F24" s="96">
        <v>8.9</v>
      </c>
      <c r="G24" s="96" t="s">
        <v>96</v>
      </c>
      <c r="H24" s="96" t="s">
        <v>37</v>
      </c>
      <c r="I24" s="96" t="s">
        <v>24</v>
      </c>
      <c r="J24" s="96" t="s">
        <v>25</v>
      </c>
      <c r="K24" s="96" t="s">
        <v>26</v>
      </c>
      <c r="L24" s="96" t="s">
        <v>27</v>
      </c>
      <c r="M24" s="97">
        <v>43452.198611111111</v>
      </c>
      <c r="N24" s="97">
        <v>44434.400694444441</v>
      </c>
      <c r="O24" s="96" t="s">
        <v>28</v>
      </c>
      <c r="P24" s="96" t="s">
        <v>29</v>
      </c>
      <c r="Q24" s="96" t="s">
        <v>30</v>
      </c>
      <c r="R24" s="26" t="s">
        <v>31</v>
      </c>
      <c r="S24" s="28">
        <f t="shared" si="0"/>
        <v>8</v>
      </c>
    </row>
    <row r="25" spans="1:19">
      <c r="A25" s="95" t="s">
        <v>97</v>
      </c>
      <c r="B25" s="96" t="s">
        <v>98</v>
      </c>
      <c r="C25" s="96" t="s">
        <v>34</v>
      </c>
      <c r="D25" s="96"/>
      <c r="E25" s="96"/>
      <c r="F25" s="96">
        <v>8.8000000000000007</v>
      </c>
      <c r="G25" s="96" t="s">
        <v>60</v>
      </c>
      <c r="H25" s="96" t="s">
        <v>42</v>
      </c>
      <c r="I25" s="96" t="s">
        <v>24</v>
      </c>
      <c r="J25" s="96" t="s">
        <v>25</v>
      </c>
      <c r="K25" s="96" t="s">
        <v>26</v>
      </c>
      <c r="L25" s="96" t="s">
        <v>27</v>
      </c>
      <c r="M25" s="97">
        <v>42886.256944444445</v>
      </c>
      <c r="N25" s="97">
        <v>44439.255555555559</v>
      </c>
      <c r="O25" s="96" t="s">
        <v>28</v>
      </c>
      <c r="P25" s="96" t="s">
        <v>29</v>
      </c>
      <c r="Q25" s="96" t="s">
        <v>30</v>
      </c>
      <c r="R25" s="26" t="s">
        <v>31</v>
      </c>
      <c r="S25" s="28">
        <f t="shared" si="0"/>
        <v>8</v>
      </c>
    </row>
    <row r="26" spans="1:19">
      <c r="A26" s="95" t="s">
        <v>99</v>
      </c>
      <c r="B26" s="96" t="s">
        <v>100</v>
      </c>
      <c r="C26" s="96" t="s">
        <v>34</v>
      </c>
      <c r="D26" s="96"/>
      <c r="E26" s="96"/>
      <c r="F26" s="96">
        <v>7.9</v>
      </c>
      <c r="G26" s="96" t="s">
        <v>101</v>
      </c>
      <c r="H26" s="96" t="s">
        <v>102</v>
      </c>
      <c r="I26" s="96" t="s">
        <v>24</v>
      </c>
      <c r="J26" s="96" t="s">
        <v>103</v>
      </c>
      <c r="K26" s="96" t="s">
        <v>26</v>
      </c>
      <c r="L26" s="96" t="s">
        <v>27</v>
      </c>
      <c r="M26" s="97">
        <v>44385.423611111109</v>
      </c>
      <c r="N26" s="97">
        <v>44434.400694444441</v>
      </c>
      <c r="O26" s="96" t="s">
        <v>28</v>
      </c>
      <c r="P26" s="96" t="s">
        <v>29</v>
      </c>
      <c r="Q26" s="96" t="s">
        <v>30</v>
      </c>
      <c r="R26" s="26" t="s">
        <v>31</v>
      </c>
      <c r="S26" s="28">
        <f t="shared" si="0"/>
        <v>7</v>
      </c>
    </row>
    <row r="27" spans="1:19">
      <c r="A27" s="95" t="s">
        <v>104</v>
      </c>
      <c r="B27" s="96" t="s">
        <v>105</v>
      </c>
      <c r="C27" s="96" t="s">
        <v>34</v>
      </c>
      <c r="D27" s="96"/>
      <c r="E27" s="96"/>
      <c r="F27" s="96">
        <v>7.9</v>
      </c>
      <c r="G27" s="96" t="s">
        <v>106</v>
      </c>
      <c r="H27" s="96" t="s">
        <v>102</v>
      </c>
      <c r="I27" s="96" t="s">
        <v>24</v>
      </c>
      <c r="J27" s="96" t="s">
        <v>103</v>
      </c>
      <c r="K27" s="96" t="s">
        <v>26</v>
      </c>
      <c r="L27" s="96" t="s">
        <v>27</v>
      </c>
      <c r="M27" s="97">
        <v>44385.423611111109</v>
      </c>
      <c r="N27" s="97">
        <v>44434.400694444441</v>
      </c>
      <c r="O27" s="96" t="s">
        <v>28</v>
      </c>
      <c r="P27" s="96" t="s">
        <v>29</v>
      </c>
      <c r="Q27" s="96" t="s">
        <v>30</v>
      </c>
      <c r="R27" s="26" t="s">
        <v>31</v>
      </c>
      <c r="S27" s="28">
        <f t="shared" si="0"/>
        <v>7</v>
      </c>
    </row>
    <row r="28" spans="1:19">
      <c r="A28" s="95" t="s">
        <v>107</v>
      </c>
      <c r="B28" s="96" t="s">
        <v>108</v>
      </c>
      <c r="C28" s="96" t="s">
        <v>34</v>
      </c>
      <c r="D28" s="96"/>
      <c r="E28" s="96"/>
      <c r="F28" s="96">
        <v>8.8000000000000007</v>
      </c>
      <c r="G28" s="96" t="s">
        <v>56</v>
      </c>
      <c r="H28" s="96" t="s">
        <v>57</v>
      </c>
      <c r="I28" s="96" t="s">
        <v>24</v>
      </c>
      <c r="J28" s="96" t="s">
        <v>25</v>
      </c>
      <c r="K28" s="96" t="s">
        <v>26</v>
      </c>
      <c r="L28" s="96" t="s">
        <v>27</v>
      </c>
      <c r="M28" s="97">
        <v>44365.259027777778</v>
      </c>
      <c r="N28" s="97">
        <v>44434.400694444441</v>
      </c>
      <c r="O28" s="96" t="s">
        <v>28</v>
      </c>
      <c r="P28" s="96" t="s">
        <v>29</v>
      </c>
      <c r="Q28" s="96" t="s">
        <v>30</v>
      </c>
      <c r="R28" s="26" t="s">
        <v>31</v>
      </c>
      <c r="S28" s="28">
        <f t="shared" si="0"/>
        <v>8</v>
      </c>
    </row>
    <row r="29" spans="1:19">
      <c r="A29" s="95" t="s">
        <v>109</v>
      </c>
      <c r="B29" s="96" t="s">
        <v>110</v>
      </c>
      <c r="C29" s="96" t="s">
        <v>34</v>
      </c>
      <c r="D29" s="96"/>
      <c r="E29" s="96"/>
      <c r="F29" s="96">
        <v>8.8000000000000007</v>
      </c>
      <c r="G29" s="96" t="s">
        <v>56</v>
      </c>
      <c r="H29" s="96" t="s">
        <v>57</v>
      </c>
      <c r="I29" s="96" t="s">
        <v>24</v>
      </c>
      <c r="J29" s="96" t="s">
        <v>25</v>
      </c>
      <c r="K29" s="96" t="s">
        <v>26</v>
      </c>
      <c r="L29" s="96" t="s">
        <v>27</v>
      </c>
      <c r="M29" s="97">
        <v>44369.463888888888</v>
      </c>
      <c r="N29" s="97">
        <v>44434.400694444441</v>
      </c>
      <c r="O29" s="96" t="s">
        <v>28</v>
      </c>
      <c r="P29" s="96" t="s">
        <v>29</v>
      </c>
      <c r="Q29" s="96" t="s">
        <v>30</v>
      </c>
      <c r="R29" s="26" t="s">
        <v>31</v>
      </c>
      <c r="S29" s="28">
        <f t="shared" si="0"/>
        <v>8</v>
      </c>
    </row>
    <row r="30" spans="1:19">
      <c r="A30" s="95" t="s">
        <v>111</v>
      </c>
      <c r="B30" s="96" t="s">
        <v>112</v>
      </c>
      <c r="C30" s="96" t="s">
        <v>34</v>
      </c>
      <c r="D30" s="96"/>
      <c r="E30" s="96" t="s">
        <v>21</v>
      </c>
      <c r="F30" s="96">
        <v>8.9</v>
      </c>
      <c r="G30" s="96" t="s">
        <v>92</v>
      </c>
      <c r="H30" s="96" t="s">
        <v>93</v>
      </c>
      <c r="I30" s="96" t="s">
        <v>24</v>
      </c>
      <c r="J30" s="96" t="s">
        <v>25</v>
      </c>
      <c r="K30" s="96" t="s">
        <v>26</v>
      </c>
      <c r="L30" s="96" t="s">
        <v>27</v>
      </c>
      <c r="M30" s="97">
        <v>43287.338888888888</v>
      </c>
      <c r="N30" s="97">
        <v>44434.400694444441</v>
      </c>
      <c r="O30" s="96" t="s">
        <v>28</v>
      </c>
      <c r="P30" s="96" t="s">
        <v>29</v>
      </c>
      <c r="Q30" s="96" t="s">
        <v>30</v>
      </c>
      <c r="R30" s="26" t="s">
        <v>31</v>
      </c>
      <c r="S30" s="28">
        <f t="shared" si="0"/>
        <v>8</v>
      </c>
    </row>
    <row r="31" spans="1:19">
      <c r="A31" s="95" t="s">
        <v>113</v>
      </c>
      <c r="B31" s="96" t="s">
        <v>114</v>
      </c>
      <c r="C31" s="96" t="s">
        <v>34</v>
      </c>
      <c r="D31" s="96"/>
      <c r="E31" s="96" t="s">
        <v>21</v>
      </c>
      <c r="F31" s="96">
        <v>8.9</v>
      </c>
      <c r="G31" s="96" t="s">
        <v>96</v>
      </c>
      <c r="H31" s="96" t="s">
        <v>37</v>
      </c>
      <c r="I31" s="96" t="s">
        <v>24</v>
      </c>
      <c r="J31" s="96" t="s">
        <v>115</v>
      </c>
      <c r="K31" s="96" t="s">
        <v>26</v>
      </c>
      <c r="L31" s="96" t="s">
        <v>27</v>
      </c>
      <c r="M31" s="97">
        <v>43452.199305555558</v>
      </c>
      <c r="N31" s="97">
        <v>44434.400694444441</v>
      </c>
      <c r="O31" s="96" t="s">
        <v>28</v>
      </c>
      <c r="P31" s="96" t="s">
        <v>29</v>
      </c>
      <c r="Q31" s="96" t="s">
        <v>30</v>
      </c>
      <c r="R31" s="26" t="s">
        <v>31</v>
      </c>
      <c r="S31" s="28">
        <f t="shared" si="0"/>
        <v>8</v>
      </c>
    </row>
    <row r="32" spans="1:19">
      <c r="A32" s="95" t="s">
        <v>116</v>
      </c>
      <c r="B32" s="96" t="s">
        <v>117</v>
      </c>
      <c r="C32" s="96" t="s">
        <v>34</v>
      </c>
      <c r="D32" s="96"/>
      <c r="E32" s="96"/>
      <c r="F32" s="96">
        <v>7.9</v>
      </c>
      <c r="G32" s="96" t="s">
        <v>101</v>
      </c>
      <c r="H32" s="96" t="s">
        <v>102</v>
      </c>
      <c r="I32" s="96" t="s">
        <v>24</v>
      </c>
      <c r="J32" s="96" t="s">
        <v>103</v>
      </c>
      <c r="K32" s="96" t="s">
        <v>26</v>
      </c>
      <c r="L32" s="96" t="s">
        <v>27</v>
      </c>
      <c r="M32" s="97">
        <v>44385.423611111109</v>
      </c>
      <c r="N32" s="97">
        <v>44434.400694444441</v>
      </c>
      <c r="O32" s="96" t="s">
        <v>28</v>
      </c>
      <c r="P32" s="96" t="s">
        <v>29</v>
      </c>
      <c r="Q32" s="96" t="s">
        <v>30</v>
      </c>
      <c r="R32" s="26" t="s">
        <v>31</v>
      </c>
      <c r="S32" s="28">
        <f t="shared" si="0"/>
        <v>7</v>
      </c>
    </row>
    <row r="33" spans="1:19">
      <c r="A33" s="95" t="s">
        <v>118</v>
      </c>
      <c r="B33" s="96" t="s">
        <v>119</v>
      </c>
      <c r="C33" s="96" t="s">
        <v>34</v>
      </c>
      <c r="D33" s="96"/>
      <c r="E33" s="96"/>
      <c r="F33" s="96">
        <v>7.9</v>
      </c>
      <c r="G33" s="96" t="s">
        <v>106</v>
      </c>
      <c r="H33" s="96" t="s">
        <v>102</v>
      </c>
      <c r="I33" s="96" t="s">
        <v>24</v>
      </c>
      <c r="J33" s="96" t="s">
        <v>103</v>
      </c>
      <c r="K33" s="96" t="s">
        <v>26</v>
      </c>
      <c r="L33" s="96" t="s">
        <v>27</v>
      </c>
      <c r="M33" s="97">
        <v>44385.423611111109</v>
      </c>
      <c r="N33" s="97">
        <v>44434.400694444441</v>
      </c>
      <c r="O33" s="96" t="s">
        <v>28</v>
      </c>
      <c r="P33" s="96" t="s">
        <v>29</v>
      </c>
      <c r="Q33" s="96" t="s">
        <v>30</v>
      </c>
      <c r="R33" s="26" t="s">
        <v>31</v>
      </c>
      <c r="S33" s="28">
        <f t="shared" si="0"/>
        <v>7</v>
      </c>
    </row>
    <row r="34" spans="1:19">
      <c r="A34" s="95" t="s">
        <v>120</v>
      </c>
      <c r="B34" s="96" t="s">
        <v>121</v>
      </c>
      <c r="C34" s="96" t="s">
        <v>34</v>
      </c>
      <c r="D34" s="96"/>
      <c r="E34" s="96"/>
      <c r="F34" s="96">
        <v>8.8000000000000007</v>
      </c>
      <c r="G34" s="96" t="s">
        <v>56</v>
      </c>
      <c r="H34" s="96" t="s">
        <v>57</v>
      </c>
      <c r="I34" s="96" t="s">
        <v>24</v>
      </c>
      <c r="J34" s="96" t="s">
        <v>25</v>
      </c>
      <c r="K34" s="96" t="s">
        <v>26</v>
      </c>
      <c r="L34" s="96" t="s">
        <v>27</v>
      </c>
      <c r="M34" s="97">
        <v>44365.259027777778</v>
      </c>
      <c r="N34" s="97">
        <v>44434.400694444441</v>
      </c>
      <c r="O34" s="96" t="s">
        <v>28</v>
      </c>
      <c r="P34" s="96" t="s">
        <v>29</v>
      </c>
      <c r="Q34" s="96" t="s">
        <v>30</v>
      </c>
      <c r="R34" s="26" t="s">
        <v>31</v>
      </c>
      <c r="S34" s="28">
        <f t="shared" si="0"/>
        <v>8</v>
      </c>
    </row>
    <row r="35" spans="1:19">
      <c r="A35" s="95" t="s">
        <v>122</v>
      </c>
      <c r="B35" s="96" t="s">
        <v>123</v>
      </c>
      <c r="C35" s="96" t="s">
        <v>34</v>
      </c>
      <c r="D35" s="96"/>
      <c r="E35" s="96" t="s">
        <v>21</v>
      </c>
      <c r="F35" s="96">
        <v>8.9</v>
      </c>
      <c r="G35" s="96" t="s">
        <v>92</v>
      </c>
      <c r="H35" s="96" t="s">
        <v>93</v>
      </c>
      <c r="I35" s="96" t="s">
        <v>24</v>
      </c>
      <c r="J35" s="96" t="s">
        <v>25</v>
      </c>
      <c r="K35" s="96" t="s">
        <v>26</v>
      </c>
      <c r="L35" s="96" t="s">
        <v>27</v>
      </c>
      <c r="M35" s="97">
        <v>43287.338888888888</v>
      </c>
      <c r="N35" s="97">
        <v>44434.400694444441</v>
      </c>
      <c r="O35" s="96" t="s">
        <v>28</v>
      </c>
      <c r="P35" s="96" t="s">
        <v>29</v>
      </c>
      <c r="Q35" s="96" t="s">
        <v>30</v>
      </c>
      <c r="R35" s="26" t="s">
        <v>31</v>
      </c>
      <c r="S35" s="28">
        <f t="shared" si="0"/>
        <v>8</v>
      </c>
    </row>
    <row r="36" spans="1:19">
      <c r="A36" s="95" t="s">
        <v>124</v>
      </c>
      <c r="B36" s="96" t="s">
        <v>125</v>
      </c>
      <c r="C36" s="96" t="s">
        <v>34</v>
      </c>
      <c r="D36" s="96"/>
      <c r="E36" s="96"/>
      <c r="F36" s="96">
        <v>7.9</v>
      </c>
      <c r="G36" s="96" t="s">
        <v>101</v>
      </c>
      <c r="H36" s="96" t="s">
        <v>102</v>
      </c>
      <c r="I36" s="96" t="s">
        <v>24</v>
      </c>
      <c r="J36" s="96" t="s">
        <v>103</v>
      </c>
      <c r="K36" s="96" t="s">
        <v>26</v>
      </c>
      <c r="L36" s="96" t="s">
        <v>27</v>
      </c>
      <c r="M36" s="97">
        <v>44385.423611111109</v>
      </c>
      <c r="N36" s="97">
        <v>44434.400694444441</v>
      </c>
      <c r="O36" s="96" t="s">
        <v>28</v>
      </c>
      <c r="P36" s="96" t="s">
        <v>29</v>
      </c>
      <c r="Q36" s="96" t="s">
        <v>30</v>
      </c>
      <c r="R36" s="26" t="s">
        <v>31</v>
      </c>
      <c r="S36" s="28">
        <f t="shared" si="0"/>
        <v>7</v>
      </c>
    </row>
    <row r="37" spans="1:19">
      <c r="A37" s="95" t="s">
        <v>126</v>
      </c>
      <c r="B37" s="96" t="s">
        <v>127</v>
      </c>
      <c r="C37" s="96" t="s">
        <v>34</v>
      </c>
      <c r="D37" s="96"/>
      <c r="E37" s="96"/>
      <c r="F37" s="96">
        <v>7.9</v>
      </c>
      <c r="G37" s="96" t="s">
        <v>106</v>
      </c>
      <c r="H37" s="96" t="s">
        <v>102</v>
      </c>
      <c r="I37" s="96" t="s">
        <v>24</v>
      </c>
      <c r="J37" s="96" t="s">
        <v>103</v>
      </c>
      <c r="K37" s="96" t="s">
        <v>26</v>
      </c>
      <c r="L37" s="96" t="s">
        <v>27</v>
      </c>
      <c r="M37" s="97">
        <v>44385.423611111109</v>
      </c>
      <c r="N37" s="97">
        <v>44434.400694444441</v>
      </c>
      <c r="O37" s="96" t="s">
        <v>28</v>
      </c>
      <c r="P37" s="96" t="s">
        <v>29</v>
      </c>
      <c r="Q37" s="96" t="s">
        <v>30</v>
      </c>
      <c r="R37" s="26" t="s">
        <v>31</v>
      </c>
      <c r="S37" s="28">
        <f t="shared" si="0"/>
        <v>7</v>
      </c>
    </row>
    <row r="38" spans="1:19">
      <c r="A38" s="95" t="s">
        <v>128</v>
      </c>
      <c r="B38" s="96" t="s">
        <v>129</v>
      </c>
      <c r="C38" s="96" t="s">
        <v>34</v>
      </c>
      <c r="D38" s="96"/>
      <c r="E38" s="96"/>
      <c r="F38" s="96">
        <v>7.9</v>
      </c>
      <c r="G38" s="96" t="s">
        <v>130</v>
      </c>
      <c r="H38" s="96" t="s">
        <v>102</v>
      </c>
      <c r="I38" s="96" t="s">
        <v>24</v>
      </c>
      <c r="J38" s="96" t="s">
        <v>103</v>
      </c>
      <c r="K38" s="96" t="s">
        <v>131</v>
      </c>
      <c r="L38" s="96" t="s">
        <v>27</v>
      </c>
      <c r="M38" s="97">
        <v>44385.423611111109</v>
      </c>
      <c r="N38" s="97">
        <v>44434.400694444441</v>
      </c>
      <c r="O38" s="96" t="s">
        <v>28</v>
      </c>
      <c r="P38" s="96" t="s">
        <v>29</v>
      </c>
      <c r="Q38" s="96" t="s">
        <v>132</v>
      </c>
      <c r="R38" s="26"/>
      <c r="S38" s="28">
        <f t="shared" si="0"/>
        <v>7</v>
      </c>
    </row>
    <row r="39" spans="1:19">
      <c r="A39" s="95" t="s">
        <v>133</v>
      </c>
      <c r="B39" s="96" t="s">
        <v>134</v>
      </c>
      <c r="C39" s="96" t="s">
        <v>34</v>
      </c>
      <c r="D39" s="96"/>
      <c r="E39" s="96"/>
      <c r="F39" s="96">
        <v>7.9</v>
      </c>
      <c r="G39" s="96" t="s">
        <v>101</v>
      </c>
      <c r="H39" s="96" t="s">
        <v>102</v>
      </c>
      <c r="I39" s="96" t="s">
        <v>24</v>
      </c>
      <c r="J39" s="96" t="s">
        <v>103</v>
      </c>
      <c r="K39" s="96" t="s">
        <v>26</v>
      </c>
      <c r="L39" s="96" t="s">
        <v>27</v>
      </c>
      <c r="M39" s="97">
        <v>44385.423611111109</v>
      </c>
      <c r="N39" s="97">
        <v>44434.400694444441</v>
      </c>
      <c r="O39" s="96" t="s">
        <v>28</v>
      </c>
      <c r="P39" s="96" t="s">
        <v>29</v>
      </c>
      <c r="Q39" s="96" t="s">
        <v>30</v>
      </c>
      <c r="R39" s="26" t="s">
        <v>31</v>
      </c>
      <c r="S39" s="28">
        <f t="shared" si="0"/>
        <v>7</v>
      </c>
    </row>
    <row r="40" spans="1:19">
      <c r="A40" s="95" t="s">
        <v>135</v>
      </c>
      <c r="B40" s="96" t="s">
        <v>136</v>
      </c>
      <c r="C40" s="96" t="s">
        <v>34</v>
      </c>
      <c r="D40" s="96"/>
      <c r="E40" s="96"/>
      <c r="F40" s="96">
        <v>7.9</v>
      </c>
      <c r="G40" s="96" t="s">
        <v>101</v>
      </c>
      <c r="H40" s="96" t="s">
        <v>102</v>
      </c>
      <c r="I40" s="96" t="s">
        <v>24</v>
      </c>
      <c r="J40" s="96" t="s">
        <v>103</v>
      </c>
      <c r="K40" s="96" t="s">
        <v>26</v>
      </c>
      <c r="L40" s="96" t="s">
        <v>27</v>
      </c>
      <c r="M40" s="97">
        <v>44385.423611111109</v>
      </c>
      <c r="N40" s="97">
        <v>44434.400694444441</v>
      </c>
      <c r="O40" s="96" t="s">
        <v>28</v>
      </c>
      <c r="P40" s="96" t="s">
        <v>29</v>
      </c>
      <c r="Q40" s="96" t="s">
        <v>30</v>
      </c>
      <c r="R40" s="26" t="s">
        <v>31</v>
      </c>
      <c r="S40" s="28">
        <f t="shared" si="0"/>
        <v>7</v>
      </c>
    </row>
    <row r="41" spans="1:19">
      <c r="A41" s="95" t="s">
        <v>137</v>
      </c>
      <c r="B41" s="96" t="s">
        <v>138</v>
      </c>
      <c r="C41" s="96" t="s">
        <v>34</v>
      </c>
      <c r="D41" s="96"/>
      <c r="E41" s="96"/>
      <c r="F41" s="96">
        <v>7.9</v>
      </c>
      <c r="G41" s="96" t="s">
        <v>101</v>
      </c>
      <c r="H41" s="96" t="s">
        <v>102</v>
      </c>
      <c r="I41" s="96" t="s">
        <v>24</v>
      </c>
      <c r="J41" s="96" t="s">
        <v>103</v>
      </c>
      <c r="K41" s="96" t="s">
        <v>26</v>
      </c>
      <c r="L41" s="96" t="s">
        <v>27</v>
      </c>
      <c r="M41" s="97">
        <v>44385.423611111109</v>
      </c>
      <c r="N41" s="97">
        <v>44434.400694444441</v>
      </c>
      <c r="O41" s="96" t="s">
        <v>28</v>
      </c>
      <c r="P41" s="96" t="s">
        <v>29</v>
      </c>
      <c r="Q41" s="96" t="s">
        <v>30</v>
      </c>
      <c r="R41" s="26" t="s">
        <v>31</v>
      </c>
      <c r="S41" s="28">
        <f t="shared" si="0"/>
        <v>7</v>
      </c>
    </row>
    <row r="42" spans="1:19">
      <c r="A42" s="95" t="s">
        <v>139</v>
      </c>
      <c r="B42" s="96" t="s">
        <v>140</v>
      </c>
      <c r="C42" s="96" t="s">
        <v>34</v>
      </c>
      <c r="D42" s="96"/>
      <c r="E42" s="96"/>
      <c r="F42" s="96">
        <v>7.9</v>
      </c>
      <c r="G42" s="96" t="s">
        <v>101</v>
      </c>
      <c r="H42" s="96" t="s">
        <v>102</v>
      </c>
      <c r="I42" s="96" t="s">
        <v>24</v>
      </c>
      <c r="J42" s="96" t="s">
        <v>103</v>
      </c>
      <c r="K42" s="96" t="s">
        <v>26</v>
      </c>
      <c r="L42" s="96" t="s">
        <v>27</v>
      </c>
      <c r="M42" s="97">
        <v>44385.423611111109</v>
      </c>
      <c r="N42" s="97">
        <v>44434.400694444441</v>
      </c>
      <c r="O42" s="96" t="s">
        <v>28</v>
      </c>
      <c r="P42" s="96" t="s">
        <v>29</v>
      </c>
      <c r="Q42" s="96" t="s">
        <v>30</v>
      </c>
      <c r="R42" s="26" t="s">
        <v>31</v>
      </c>
      <c r="S42" s="28">
        <f t="shared" si="0"/>
        <v>7</v>
      </c>
    </row>
    <row r="43" spans="1:19">
      <c r="A43" s="95" t="s">
        <v>141</v>
      </c>
      <c r="B43" s="96" t="s">
        <v>142</v>
      </c>
      <c r="C43" s="96" t="s">
        <v>34</v>
      </c>
      <c r="D43" s="96"/>
      <c r="E43" s="96"/>
      <c r="F43" s="96">
        <v>7.9</v>
      </c>
      <c r="G43" s="96" t="s">
        <v>101</v>
      </c>
      <c r="H43" s="96" t="s">
        <v>102</v>
      </c>
      <c r="I43" s="96" t="s">
        <v>24</v>
      </c>
      <c r="J43" s="96" t="s">
        <v>103</v>
      </c>
      <c r="K43" s="96" t="s">
        <v>26</v>
      </c>
      <c r="L43" s="96" t="s">
        <v>27</v>
      </c>
      <c r="M43" s="97">
        <v>44385.423611111109</v>
      </c>
      <c r="N43" s="97">
        <v>44434.400694444441</v>
      </c>
      <c r="O43" s="96" t="s">
        <v>28</v>
      </c>
      <c r="P43" s="96" t="s">
        <v>29</v>
      </c>
      <c r="Q43" s="96" t="s">
        <v>30</v>
      </c>
      <c r="R43" s="26" t="s">
        <v>31</v>
      </c>
      <c r="S43" s="28">
        <f t="shared" si="0"/>
        <v>7</v>
      </c>
    </row>
    <row r="44" spans="1:19">
      <c r="A44" s="95" t="s">
        <v>143</v>
      </c>
      <c r="B44" s="96" t="s">
        <v>144</v>
      </c>
      <c r="C44" s="96" t="s">
        <v>34</v>
      </c>
      <c r="D44" s="96"/>
      <c r="E44" s="96" t="s">
        <v>21</v>
      </c>
      <c r="F44" s="96">
        <v>8.8000000000000007</v>
      </c>
      <c r="G44" s="96" t="s">
        <v>145</v>
      </c>
      <c r="H44" s="96" t="s">
        <v>93</v>
      </c>
      <c r="I44" s="96" t="s">
        <v>24</v>
      </c>
      <c r="J44" s="96" t="s">
        <v>25</v>
      </c>
      <c r="K44" s="96" t="s">
        <v>26</v>
      </c>
      <c r="L44" s="96" t="s">
        <v>27</v>
      </c>
      <c r="M44" s="97">
        <v>43957.12222222222</v>
      </c>
      <c r="N44" s="97">
        <v>44434.400694444441</v>
      </c>
      <c r="O44" s="96" t="s">
        <v>28</v>
      </c>
      <c r="P44" s="96" t="s">
        <v>29</v>
      </c>
      <c r="Q44" s="96" t="s">
        <v>30</v>
      </c>
      <c r="R44" s="26" t="s">
        <v>31</v>
      </c>
      <c r="S44" s="28">
        <f t="shared" si="0"/>
        <v>8</v>
      </c>
    </row>
    <row r="45" spans="1:19">
      <c r="A45" s="95" t="s">
        <v>146</v>
      </c>
      <c r="B45" s="96" t="s">
        <v>147</v>
      </c>
      <c r="C45" s="96" t="s">
        <v>34</v>
      </c>
      <c r="D45" s="96"/>
      <c r="E45" s="96"/>
      <c r="F45" s="98">
        <v>8.1</v>
      </c>
      <c r="G45" s="96" t="s">
        <v>56</v>
      </c>
      <c r="H45" s="96" t="s">
        <v>57</v>
      </c>
      <c r="I45" s="96" t="s">
        <v>24</v>
      </c>
      <c r="J45" s="96" t="s">
        <v>25</v>
      </c>
      <c r="K45" s="96" t="s">
        <v>148</v>
      </c>
      <c r="L45" s="96" t="s">
        <v>27</v>
      </c>
      <c r="M45" s="97">
        <v>44335.215277777781</v>
      </c>
      <c r="N45" s="97">
        <v>44434.400694444441</v>
      </c>
      <c r="O45" s="96" t="s">
        <v>28</v>
      </c>
      <c r="P45" s="96" t="s">
        <v>29</v>
      </c>
      <c r="Q45" s="96" t="s">
        <v>30</v>
      </c>
      <c r="R45" s="26" t="s">
        <v>31</v>
      </c>
      <c r="S45" s="28">
        <f t="shared" si="0"/>
        <v>8</v>
      </c>
    </row>
    <row r="46" spans="1:19">
      <c r="A46" s="95" t="s">
        <v>149</v>
      </c>
      <c r="B46" s="96" t="s">
        <v>150</v>
      </c>
      <c r="C46" s="96" t="s">
        <v>34</v>
      </c>
      <c r="D46" s="96"/>
      <c r="E46" s="96"/>
      <c r="F46" s="98">
        <v>8.1</v>
      </c>
      <c r="G46" s="96" t="s">
        <v>56</v>
      </c>
      <c r="H46" s="96" t="s">
        <v>57</v>
      </c>
      <c r="I46" s="96" t="s">
        <v>24</v>
      </c>
      <c r="J46" s="96" t="s">
        <v>25</v>
      </c>
      <c r="K46" s="96" t="s">
        <v>148</v>
      </c>
      <c r="L46" s="96" t="s">
        <v>27</v>
      </c>
      <c r="M46" s="97">
        <v>44335.21597222222</v>
      </c>
      <c r="N46" s="97">
        <v>44434.400694444441</v>
      </c>
      <c r="O46" s="96" t="s">
        <v>28</v>
      </c>
      <c r="P46" s="96" t="s">
        <v>29</v>
      </c>
      <c r="Q46" s="96" t="s">
        <v>30</v>
      </c>
      <c r="R46" s="26" t="s">
        <v>31</v>
      </c>
      <c r="S46" s="28">
        <f t="shared" si="0"/>
        <v>8</v>
      </c>
    </row>
    <row r="47" spans="1:19">
      <c r="A47" s="95" t="s">
        <v>151</v>
      </c>
      <c r="B47" s="96" t="s">
        <v>152</v>
      </c>
      <c r="C47" s="96" t="s">
        <v>34</v>
      </c>
      <c r="D47" s="96"/>
      <c r="E47" s="96"/>
      <c r="F47" s="98">
        <v>8.1</v>
      </c>
      <c r="G47" s="96" t="s">
        <v>56</v>
      </c>
      <c r="H47" s="96" t="s">
        <v>57</v>
      </c>
      <c r="I47" s="96" t="s">
        <v>24</v>
      </c>
      <c r="J47" s="96" t="s">
        <v>25</v>
      </c>
      <c r="K47" s="96" t="s">
        <v>148</v>
      </c>
      <c r="L47" s="96" t="s">
        <v>27</v>
      </c>
      <c r="M47" s="97">
        <v>44335.214583333334</v>
      </c>
      <c r="N47" s="97">
        <v>44434.400694444441</v>
      </c>
      <c r="O47" s="96" t="s">
        <v>28</v>
      </c>
      <c r="P47" s="96" t="s">
        <v>29</v>
      </c>
      <c r="Q47" s="96" t="s">
        <v>30</v>
      </c>
      <c r="R47" s="26" t="s">
        <v>31</v>
      </c>
      <c r="S47" s="28">
        <f t="shared" si="0"/>
        <v>8</v>
      </c>
    </row>
    <row r="48" spans="1:19">
      <c r="A48" s="95" t="s">
        <v>153</v>
      </c>
      <c r="B48" s="96" t="s">
        <v>154</v>
      </c>
      <c r="C48" s="96" t="s">
        <v>34</v>
      </c>
      <c r="D48" s="96"/>
      <c r="E48" s="96" t="s">
        <v>21</v>
      </c>
      <c r="F48" s="96">
        <v>8.8000000000000007</v>
      </c>
      <c r="G48" s="96" t="s">
        <v>155</v>
      </c>
      <c r="H48" s="96" t="s">
        <v>93</v>
      </c>
      <c r="I48" s="96" t="s">
        <v>24</v>
      </c>
      <c r="J48" s="96" t="s">
        <v>25</v>
      </c>
      <c r="K48" s="96" t="s">
        <v>26</v>
      </c>
      <c r="L48" s="96" t="s">
        <v>27</v>
      </c>
      <c r="M48" s="97">
        <v>43292.126388888886</v>
      </c>
      <c r="N48" s="97">
        <v>44434.400694444441</v>
      </c>
      <c r="O48" s="96" t="s">
        <v>28</v>
      </c>
      <c r="P48" s="96" t="s">
        <v>29</v>
      </c>
      <c r="Q48" s="96" t="s">
        <v>30</v>
      </c>
      <c r="R48" s="26" t="s">
        <v>31</v>
      </c>
      <c r="S48" s="28">
        <f t="shared" si="0"/>
        <v>8</v>
      </c>
    </row>
    <row r="49" spans="1:19">
      <c r="A49" s="95" t="s">
        <v>156</v>
      </c>
      <c r="B49" s="96" t="s">
        <v>157</v>
      </c>
      <c r="C49" s="96" t="s">
        <v>34</v>
      </c>
      <c r="D49" s="96"/>
      <c r="E49" s="96"/>
      <c r="F49" s="98">
        <v>8.1</v>
      </c>
      <c r="G49" s="96" t="s">
        <v>56</v>
      </c>
      <c r="H49" s="96" t="s">
        <v>57</v>
      </c>
      <c r="I49" s="96" t="s">
        <v>24</v>
      </c>
      <c r="J49" s="96" t="s">
        <v>25</v>
      </c>
      <c r="K49" s="96" t="s">
        <v>148</v>
      </c>
      <c r="L49" s="96" t="s">
        <v>27</v>
      </c>
      <c r="M49" s="97">
        <v>44335.215277777781</v>
      </c>
      <c r="N49" s="97">
        <v>44434.400694444441</v>
      </c>
      <c r="O49" s="96" t="s">
        <v>28</v>
      </c>
      <c r="P49" s="96" t="s">
        <v>29</v>
      </c>
      <c r="Q49" s="96" t="s">
        <v>30</v>
      </c>
      <c r="R49" s="26" t="s">
        <v>31</v>
      </c>
      <c r="S49" s="28">
        <f t="shared" si="0"/>
        <v>8</v>
      </c>
    </row>
    <row r="50" spans="1:19">
      <c r="A50" s="95" t="s">
        <v>158</v>
      </c>
      <c r="B50" s="96" t="s">
        <v>159</v>
      </c>
      <c r="C50" s="96" t="s">
        <v>34</v>
      </c>
      <c r="D50" s="96"/>
      <c r="E50" s="96"/>
      <c r="F50" s="98">
        <v>8.1</v>
      </c>
      <c r="G50" s="96" t="s">
        <v>56</v>
      </c>
      <c r="H50" s="96" t="s">
        <v>57</v>
      </c>
      <c r="I50" s="96" t="s">
        <v>24</v>
      </c>
      <c r="J50" s="96" t="s">
        <v>25</v>
      </c>
      <c r="K50" s="96" t="s">
        <v>148</v>
      </c>
      <c r="L50" s="96" t="s">
        <v>27</v>
      </c>
      <c r="M50" s="97">
        <v>44335.214583333334</v>
      </c>
      <c r="N50" s="97">
        <v>44434.400694444441</v>
      </c>
      <c r="O50" s="96" t="s">
        <v>28</v>
      </c>
      <c r="P50" s="96" t="s">
        <v>29</v>
      </c>
      <c r="Q50" s="96" t="s">
        <v>30</v>
      </c>
      <c r="R50" s="26" t="s">
        <v>31</v>
      </c>
      <c r="S50" s="28">
        <f t="shared" si="0"/>
        <v>8</v>
      </c>
    </row>
    <row r="51" spans="1:19">
      <c r="A51" s="95" t="s">
        <v>160</v>
      </c>
      <c r="B51" s="96" t="s">
        <v>161</v>
      </c>
      <c r="C51" s="96" t="s">
        <v>34</v>
      </c>
      <c r="D51" s="96"/>
      <c r="E51" s="96"/>
      <c r="F51" s="96">
        <v>8.8000000000000007</v>
      </c>
      <c r="G51" s="96" t="s">
        <v>56</v>
      </c>
      <c r="H51" s="96" t="s">
        <v>57</v>
      </c>
      <c r="I51" s="96" t="s">
        <v>24</v>
      </c>
      <c r="J51" s="96" t="s">
        <v>25</v>
      </c>
      <c r="K51" s="96" t="s">
        <v>148</v>
      </c>
      <c r="L51" s="96" t="s">
        <v>27</v>
      </c>
      <c r="M51" s="97">
        <v>44335.21597222222</v>
      </c>
      <c r="N51" s="97">
        <v>44434.400694444441</v>
      </c>
      <c r="O51" s="96" t="s">
        <v>28</v>
      </c>
      <c r="P51" s="96" t="s">
        <v>29</v>
      </c>
      <c r="Q51" s="96" t="s">
        <v>30</v>
      </c>
      <c r="R51" s="26" t="s">
        <v>31</v>
      </c>
      <c r="S51" s="28">
        <f t="shared" si="0"/>
        <v>8</v>
      </c>
    </row>
    <row r="52" spans="1:19">
      <c r="A52" s="95" t="s">
        <v>162</v>
      </c>
      <c r="B52" s="96" t="s">
        <v>163</v>
      </c>
      <c r="C52" s="96" t="s">
        <v>34</v>
      </c>
      <c r="D52" s="96"/>
      <c r="E52" s="96" t="s">
        <v>21</v>
      </c>
      <c r="F52" s="96">
        <v>8.8000000000000007</v>
      </c>
      <c r="G52" s="96" t="s">
        <v>145</v>
      </c>
      <c r="H52" s="96" t="s">
        <v>93</v>
      </c>
      <c r="I52" s="96" t="s">
        <v>24</v>
      </c>
      <c r="J52" s="96" t="s">
        <v>25</v>
      </c>
      <c r="K52" s="96" t="s">
        <v>148</v>
      </c>
      <c r="L52" s="96" t="s">
        <v>27</v>
      </c>
      <c r="M52" s="97">
        <v>43906.137499999997</v>
      </c>
      <c r="N52" s="97">
        <v>44434.400694444441</v>
      </c>
      <c r="O52" s="96" t="s">
        <v>28</v>
      </c>
      <c r="P52" s="96" t="s">
        <v>29</v>
      </c>
      <c r="Q52" s="96" t="s">
        <v>30</v>
      </c>
      <c r="R52" s="26" t="s">
        <v>31</v>
      </c>
      <c r="S52" s="28">
        <f t="shared" si="0"/>
        <v>8</v>
      </c>
    </row>
    <row r="53" spans="1:19">
      <c r="A53" s="95" t="s">
        <v>164</v>
      </c>
      <c r="B53" s="96" t="s">
        <v>165</v>
      </c>
      <c r="C53" s="96" t="s">
        <v>34</v>
      </c>
      <c r="D53" s="96"/>
      <c r="E53" s="96" t="s">
        <v>21</v>
      </c>
      <c r="F53" s="98">
        <v>8.1</v>
      </c>
      <c r="G53" s="96" t="s">
        <v>166</v>
      </c>
      <c r="H53" s="96" t="s">
        <v>37</v>
      </c>
      <c r="I53" s="96" t="s">
        <v>24</v>
      </c>
      <c r="J53" s="96" t="s">
        <v>25</v>
      </c>
      <c r="K53" s="96" t="s">
        <v>26</v>
      </c>
      <c r="L53" s="96" t="s">
        <v>27</v>
      </c>
      <c r="M53" s="97">
        <v>44447.361111111109</v>
      </c>
      <c r="N53" s="97">
        <v>44447.364583333336</v>
      </c>
      <c r="O53" s="96" t="s">
        <v>28</v>
      </c>
      <c r="P53" s="96" t="s">
        <v>29</v>
      </c>
      <c r="Q53" s="96" t="s">
        <v>30</v>
      </c>
      <c r="R53" s="26" t="s">
        <v>31</v>
      </c>
      <c r="S53" s="28">
        <f t="shared" si="0"/>
        <v>8</v>
      </c>
    </row>
    <row r="54" spans="1:19">
      <c r="A54" s="95" t="s">
        <v>167</v>
      </c>
      <c r="B54" s="96" t="s">
        <v>168</v>
      </c>
      <c r="C54" s="96" t="s">
        <v>34</v>
      </c>
      <c r="D54" s="96"/>
      <c r="E54" s="96"/>
      <c r="F54" s="98">
        <v>8.1</v>
      </c>
      <c r="G54" s="96" t="s">
        <v>169</v>
      </c>
      <c r="H54" s="96" t="s">
        <v>28</v>
      </c>
      <c r="I54" s="96" t="s">
        <v>24</v>
      </c>
      <c r="J54" s="96" t="s">
        <v>25</v>
      </c>
      <c r="K54" s="96" t="s">
        <v>170</v>
      </c>
      <c r="L54" s="96" t="s">
        <v>27</v>
      </c>
      <c r="M54" s="97">
        <v>43273.498611111114</v>
      </c>
      <c r="N54" s="97">
        <v>44434.400694444441</v>
      </c>
      <c r="O54" s="96" t="s">
        <v>28</v>
      </c>
      <c r="P54" s="96" t="s">
        <v>29</v>
      </c>
      <c r="Q54" s="96" t="s">
        <v>30</v>
      </c>
      <c r="R54" s="26" t="s">
        <v>31</v>
      </c>
      <c r="S54" s="28">
        <f t="shared" si="0"/>
        <v>8</v>
      </c>
    </row>
    <row r="55" spans="1:19">
      <c r="A55" s="95" t="s">
        <v>171</v>
      </c>
      <c r="B55" s="96" t="s">
        <v>172</v>
      </c>
      <c r="C55" s="96" t="s">
        <v>34</v>
      </c>
      <c r="D55" s="96"/>
      <c r="E55" s="96"/>
      <c r="F55" s="96">
        <v>7.9</v>
      </c>
      <c r="G55" s="96" t="s">
        <v>173</v>
      </c>
      <c r="H55" s="96" t="s">
        <v>102</v>
      </c>
      <c r="I55" s="96" t="s">
        <v>24</v>
      </c>
      <c r="J55" s="96" t="s">
        <v>103</v>
      </c>
      <c r="K55" s="96" t="s">
        <v>170</v>
      </c>
      <c r="L55" s="96" t="s">
        <v>27</v>
      </c>
      <c r="M55" s="97">
        <v>44385.423611111109</v>
      </c>
      <c r="N55" s="97">
        <v>44434.400694444441</v>
      </c>
      <c r="O55" s="96" t="s">
        <v>28</v>
      </c>
      <c r="P55" s="96" t="s">
        <v>29</v>
      </c>
      <c r="Q55" s="96" t="s">
        <v>30</v>
      </c>
      <c r="R55" s="26" t="s">
        <v>31</v>
      </c>
      <c r="S55" s="28">
        <f t="shared" si="0"/>
        <v>7</v>
      </c>
    </row>
    <row r="56" spans="1:19">
      <c r="A56" s="95" t="s">
        <v>174</v>
      </c>
      <c r="B56" s="96" t="s">
        <v>175</v>
      </c>
      <c r="C56" s="96" t="s">
        <v>34</v>
      </c>
      <c r="D56" s="96"/>
      <c r="E56" s="96" t="s">
        <v>21</v>
      </c>
      <c r="F56" s="96">
        <v>8.8000000000000007</v>
      </c>
      <c r="G56" s="96" t="s">
        <v>169</v>
      </c>
      <c r="H56" s="96" t="s">
        <v>28</v>
      </c>
      <c r="I56" s="96" t="s">
        <v>24</v>
      </c>
      <c r="J56" s="96" t="s">
        <v>25</v>
      </c>
      <c r="K56" s="96" t="s">
        <v>170</v>
      </c>
      <c r="L56" s="96" t="s">
        <v>27</v>
      </c>
      <c r="M56" s="97">
        <v>43273.498611111114</v>
      </c>
      <c r="N56" s="97">
        <v>44434.400694444441</v>
      </c>
      <c r="O56" s="96" t="s">
        <v>28</v>
      </c>
      <c r="P56" s="96" t="s">
        <v>29</v>
      </c>
      <c r="Q56" s="96" t="s">
        <v>30</v>
      </c>
      <c r="R56" s="26" t="s">
        <v>31</v>
      </c>
      <c r="S56" s="28">
        <f t="shared" si="0"/>
        <v>8</v>
      </c>
    </row>
    <row r="57" spans="1:19">
      <c r="A57" s="95" t="s">
        <v>176</v>
      </c>
      <c r="B57" s="96" t="s">
        <v>177</v>
      </c>
      <c r="C57" s="96" t="s">
        <v>34</v>
      </c>
      <c r="D57" s="96"/>
      <c r="E57" s="96" t="s">
        <v>21</v>
      </c>
      <c r="F57" s="96">
        <v>8.8000000000000007</v>
      </c>
      <c r="G57" s="96" t="s">
        <v>169</v>
      </c>
      <c r="H57" s="96" t="s">
        <v>28</v>
      </c>
      <c r="I57" s="96" t="s">
        <v>24</v>
      </c>
      <c r="J57" s="96" t="s">
        <v>25</v>
      </c>
      <c r="K57" s="96" t="s">
        <v>170</v>
      </c>
      <c r="L57" s="96" t="s">
        <v>27</v>
      </c>
      <c r="M57" s="97">
        <v>43273.498611111114</v>
      </c>
      <c r="N57" s="97">
        <v>44434.400694444441</v>
      </c>
      <c r="O57" s="96" t="s">
        <v>28</v>
      </c>
      <c r="P57" s="96" t="s">
        <v>29</v>
      </c>
      <c r="Q57" s="96" t="s">
        <v>30</v>
      </c>
      <c r="R57" s="26" t="s">
        <v>31</v>
      </c>
      <c r="S57" s="28">
        <f t="shared" si="0"/>
        <v>8</v>
      </c>
    </row>
    <row r="58" spans="1:19">
      <c r="A58" s="95" t="s">
        <v>178</v>
      </c>
      <c r="B58" s="96" t="s">
        <v>179</v>
      </c>
      <c r="C58" s="96" t="s">
        <v>34</v>
      </c>
      <c r="D58" s="96"/>
      <c r="E58" s="96" t="s">
        <v>21</v>
      </c>
      <c r="F58" s="96">
        <v>8.8000000000000007</v>
      </c>
      <c r="G58" s="96" t="s">
        <v>169</v>
      </c>
      <c r="H58" s="96" t="s">
        <v>28</v>
      </c>
      <c r="I58" s="96" t="s">
        <v>24</v>
      </c>
      <c r="J58" s="96" t="s">
        <v>25</v>
      </c>
      <c r="K58" s="96" t="s">
        <v>170</v>
      </c>
      <c r="L58" s="96" t="s">
        <v>27</v>
      </c>
      <c r="M58" s="97">
        <v>42886.256944444445</v>
      </c>
      <c r="N58" s="97">
        <v>44434.400694444441</v>
      </c>
      <c r="O58" s="96" t="s">
        <v>28</v>
      </c>
      <c r="P58" s="96" t="s">
        <v>29</v>
      </c>
      <c r="Q58" s="96" t="s">
        <v>30</v>
      </c>
      <c r="R58" s="26" t="s">
        <v>31</v>
      </c>
      <c r="S58" s="28">
        <f t="shared" si="0"/>
        <v>8</v>
      </c>
    </row>
    <row r="59" spans="1:19">
      <c r="A59" s="95" t="s">
        <v>180</v>
      </c>
      <c r="B59" s="96" t="s">
        <v>181</v>
      </c>
      <c r="C59" s="96" t="s">
        <v>34</v>
      </c>
      <c r="D59" s="96"/>
      <c r="E59" s="96"/>
      <c r="F59" s="96">
        <v>7.9</v>
      </c>
      <c r="G59" s="96" t="s">
        <v>182</v>
      </c>
      <c r="H59" s="96" t="s">
        <v>102</v>
      </c>
      <c r="I59" s="96" t="s">
        <v>24</v>
      </c>
      <c r="J59" s="96" t="s">
        <v>25</v>
      </c>
      <c r="K59" s="96" t="s">
        <v>170</v>
      </c>
      <c r="L59" s="96" t="s">
        <v>27</v>
      </c>
      <c r="M59" s="97">
        <v>44356.246527777781</v>
      </c>
      <c r="N59" s="97">
        <v>44434.400694444441</v>
      </c>
      <c r="O59" s="96" t="s">
        <v>28</v>
      </c>
      <c r="P59" s="96" t="s">
        <v>29</v>
      </c>
      <c r="Q59" s="96" t="s">
        <v>30</v>
      </c>
      <c r="R59" s="26" t="s">
        <v>31</v>
      </c>
      <c r="S59" s="28">
        <f t="shared" si="0"/>
        <v>7</v>
      </c>
    </row>
    <row r="60" spans="1:19">
      <c r="A60" s="95" t="s">
        <v>183</v>
      </c>
      <c r="B60" s="96" t="s">
        <v>184</v>
      </c>
      <c r="C60" s="96" t="s">
        <v>34</v>
      </c>
      <c r="D60" s="96"/>
      <c r="E60" s="96" t="s">
        <v>21</v>
      </c>
      <c r="F60" s="96">
        <v>8.8000000000000007</v>
      </c>
      <c r="G60" s="96" t="s">
        <v>145</v>
      </c>
      <c r="H60" s="96" t="s">
        <v>93</v>
      </c>
      <c r="I60" s="96" t="s">
        <v>24</v>
      </c>
      <c r="J60" s="96" t="s">
        <v>25</v>
      </c>
      <c r="K60" s="96" t="s">
        <v>26</v>
      </c>
      <c r="L60" s="96" t="s">
        <v>27</v>
      </c>
      <c r="M60" s="97">
        <v>44007.256944444445</v>
      </c>
      <c r="N60" s="97">
        <v>44434.400694444441</v>
      </c>
      <c r="O60" s="96" t="s">
        <v>28</v>
      </c>
      <c r="P60" s="96" t="s">
        <v>29</v>
      </c>
      <c r="Q60" s="96" t="s">
        <v>30</v>
      </c>
      <c r="R60" s="26" t="s">
        <v>31</v>
      </c>
      <c r="S60" s="28">
        <f t="shared" si="0"/>
        <v>8</v>
      </c>
    </row>
    <row r="61" spans="1:19">
      <c r="A61" s="95" t="s">
        <v>185</v>
      </c>
      <c r="B61" s="96" t="s">
        <v>186</v>
      </c>
      <c r="C61" s="96" t="s">
        <v>34</v>
      </c>
      <c r="D61" s="96"/>
      <c r="E61" s="96" t="s">
        <v>21</v>
      </c>
      <c r="F61" s="96">
        <v>8.8000000000000007</v>
      </c>
      <c r="G61" s="96" t="s">
        <v>145</v>
      </c>
      <c r="H61" s="96" t="s">
        <v>93</v>
      </c>
      <c r="I61" s="96" t="s">
        <v>24</v>
      </c>
      <c r="J61" s="96" t="s">
        <v>25</v>
      </c>
      <c r="K61" s="96" t="s">
        <v>148</v>
      </c>
      <c r="L61" s="96" t="s">
        <v>27</v>
      </c>
      <c r="M61" s="97">
        <v>44007.256249999999</v>
      </c>
      <c r="N61" s="97">
        <v>44434.400694444441</v>
      </c>
      <c r="O61" s="96" t="s">
        <v>28</v>
      </c>
      <c r="P61" s="96" t="s">
        <v>29</v>
      </c>
      <c r="Q61" s="96" t="s">
        <v>30</v>
      </c>
      <c r="R61" s="26" t="s">
        <v>31</v>
      </c>
      <c r="S61" s="28">
        <f t="shared" si="0"/>
        <v>8</v>
      </c>
    </row>
    <row r="62" spans="1:19">
      <c r="A62" s="95" t="s">
        <v>187</v>
      </c>
      <c r="B62" s="96" t="s">
        <v>188</v>
      </c>
      <c r="C62" s="96" t="s">
        <v>34</v>
      </c>
      <c r="D62" s="96"/>
      <c r="E62" s="99" t="s">
        <v>21</v>
      </c>
      <c r="F62" s="98">
        <v>8.1</v>
      </c>
      <c r="G62" s="96" t="s">
        <v>189</v>
      </c>
      <c r="H62" s="99" t="s">
        <v>190</v>
      </c>
      <c r="I62" s="99" t="s">
        <v>191</v>
      </c>
      <c r="J62" s="96" t="s">
        <v>192</v>
      </c>
      <c r="K62" s="96" t="s">
        <v>26</v>
      </c>
      <c r="L62" s="96" t="s">
        <v>27</v>
      </c>
      <c r="M62" s="97">
        <v>44468.270138888889</v>
      </c>
      <c r="N62" s="97">
        <v>44468.270138888889</v>
      </c>
      <c r="O62" s="96" t="s">
        <v>28</v>
      </c>
      <c r="P62" s="96" t="s">
        <v>29</v>
      </c>
      <c r="Q62" s="96" t="s">
        <v>30</v>
      </c>
      <c r="R62" s="26" t="s">
        <v>31</v>
      </c>
      <c r="S62" s="28">
        <f t="shared" si="0"/>
        <v>8</v>
      </c>
    </row>
    <row r="63" spans="1:19">
      <c r="A63" s="95" t="s">
        <v>193</v>
      </c>
      <c r="B63" s="96" t="s">
        <v>194</v>
      </c>
      <c r="C63" s="96" t="s">
        <v>34</v>
      </c>
      <c r="D63" s="96"/>
      <c r="E63" s="96"/>
      <c r="F63" s="96">
        <v>8.8000000000000007</v>
      </c>
      <c r="G63" s="96" t="s">
        <v>195</v>
      </c>
      <c r="H63" s="96" t="s">
        <v>57</v>
      </c>
      <c r="I63" s="96" t="s">
        <v>24</v>
      </c>
      <c r="J63" s="96" t="s">
        <v>25</v>
      </c>
      <c r="K63" s="96" t="s">
        <v>26</v>
      </c>
      <c r="L63" s="96" t="s">
        <v>27</v>
      </c>
      <c r="M63" s="97">
        <v>44690.298611111109</v>
      </c>
      <c r="N63" s="97">
        <v>44720.269444444442</v>
      </c>
      <c r="O63" s="96" t="s">
        <v>28</v>
      </c>
      <c r="P63" s="96" t="s">
        <v>29</v>
      </c>
      <c r="Q63" s="96" t="s">
        <v>30</v>
      </c>
      <c r="R63" s="26" t="s">
        <v>31</v>
      </c>
      <c r="S63" s="28">
        <f t="shared" si="0"/>
        <v>8</v>
      </c>
    </row>
    <row r="64" spans="1:19">
      <c r="A64" s="95" t="s">
        <v>196</v>
      </c>
      <c r="B64" s="96" t="s">
        <v>197</v>
      </c>
      <c r="C64" s="100" t="s">
        <v>34</v>
      </c>
      <c r="D64" s="100"/>
      <c r="E64" s="100" t="s">
        <v>21</v>
      </c>
      <c r="F64" s="100">
        <v>9.3000000000000007</v>
      </c>
      <c r="G64" s="100" t="s">
        <v>198</v>
      </c>
      <c r="H64" s="96" t="s">
        <v>57</v>
      </c>
      <c r="I64" s="99" t="s">
        <v>191</v>
      </c>
      <c r="J64" s="96" t="s">
        <v>192</v>
      </c>
      <c r="K64" s="96" t="s">
        <v>26</v>
      </c>
      <c r="L64" s="96" t="s">
        <v>27</v>
      </c>
      <c r="M64" s="97">
        <v>44728.298611111109</v>
      </c>
      <c r="N64" s="97">
        <v>44728.298611111109</v>
      </c>
      <c r="O64" s="96" t="s">
        <v>28</v>
      </c>
      <c r="P64" s="96" t="s">
        <v>29</v>
      </c>
      <c r="Q64" s="96" t="s">
        <v>30</v>
      </c>
      <c r="R64" s="26" t="s">
        <v>31</v>
      </c>
      <c r="S64" s="28">
        <f t="shared" si="0"/>
        <v>9</v>
      </c>
    </row>
    <row r="65" spans="1:19">
      <c r="A65" s="95" t="s">
        <v>199</v>
      </c>
      <c r="B65" s="96" t="s">
        <v>200</v>
      </c>
      <c r="C65" s="100" t="s">
        <v>34</v>
      </c>
      <c r="D65" s="100"/>
      <c r="E65" s="100" t="s">
        <v>21</v>
      </c>
      <c r="F65" s="100">
        <v>9.3000000000000007</v>
      </c>
      <c r="G65" s="100" t="s">
        <v>198</v>
      </c>
      <c r="H65" s="96" t="s">
        <v>57</v>
      </c>
      <c r="I65" s="99" t="s">
        <v>191</v>
      </c>
      <c r="J65" s="96" t="s">
        <v>192</v>
      </c>
      <c r="K65" s="96" t="s">
        <v>26</v>
      </c>
      <c r="L65" s="96" t="s">
        <v>27</v>
      </c>
      <c r="M65" s="97">
        <v>44728.298611111109</v>
      </c>
      <c r="N65" s="97">
        <v>44728.298611111109</v>
      </c>
      <c r="O65" s="96" t="s">
        <v>28</v>
      </c>
      <c r="P65" s="96" t="s">
        <v>29</v>
      </c>
      <c r="Q65" s="96" t="s">
        <v>30</v>
      </c>
      <c r="R65" s="26" t="s">
        <v>31</v>
      </c>
      <c r="S65" s="28">
        <f t="shared" si="0"/>
        <v>9</v>
      </c>
    </row>
    <row r="66" spans="1:19">
      <c r="A66" s="95" t="s">
        <v>201</v>
      </c>
      <c r="B66" s="99" t="s">
        <v>202</v>
      </c>
      <c r="C66" s="96" t="s">
        <v>34</v>
      </c>
      <c r="D66" s="96"/>
      <c r="E66" s="99"/>
      <c r="F66" s="98">
        <v>8.1</v>
      </c>
      <c r="G66" s="96" t="s">
        <v>203</v>
      </c>
      <c r="H66" s="96" t="s">
        <v>204</v>
      </c>
      <c r="I66" s="96" t="s">
        <v>24</v>
      </c>
      <c r="J66" s="96" t="s">
        <v>25</v>
      </c>
      <c r="K66" s="96" t="s">
        <v>26</v>
      </c>
      <c r="L66" s="96" t="s">
        <v>27</v>
      </c>
      <c r="M66" s="96"/>
      <c r="N66" s="96"/>
      <c r="O66" s="96" t="s">
        <v>28</v>
      </c>
      <c r="P66" s="96" t="s">
        <v>29</v>
      </c>
      <c r="Q66" s="96" t="s">
        <v>30</v>
      </c>
      <c r="R66" s="26" t="s">
        <v>31</v>
      </c>
      <c r="S66" s="28">
        <f t="shared" si="0"/>
        <v>8</v>
      </c>
    </row>
    <row r="67" spans="1:19">
      <c r="A67" s="101" t="s">
        <v>205</v>
      </c>
      <c r="B67" s="99" t="s">
        <v>206</v>
      </c>
      <c r="C67" s="99" t="s">
        <v>34</v>
      </c>
      <c r="D67" s="96"/>
      <c r="E67" s="99"/>
      <c r="F67" s="98">
        <v>8.1</v>
      </c>
      <c r="G67" s="99" t="s">
        <v>207</v>
      </c>
      <c r="H67" s="99" t="s">
        <v>57</v>
      </c>
      <c r="I67" s="96" t="s">
        <v>24</v>
      </c>
      <c r="J67" s="96" t="s">
        <v>25</v>
      </c>
      <c r="K67" s="99" t="s">
        <v>148</v>
      </c>
      <c r="L67" s="96" t="s">
        <v>27</v>
      </c>
      <c r="M67" s="96"/>
      <c r="N67" s="96"/>
      <c r="O67" s="96" t="s">
        <v>28</v>
      </c>
      <c r="P67" s="96" t="s">
        <v>29</v>
      </c>
      <c r="Q67" s="96" t="s">
        <v>30</v>
      </c>
      <c r="R67" s="26" t="s">
        <v>31</v>
      </c>
      <c r="S67" s="28">
        <f t="shared" ref="S67:S105" si="1">TRUNC(F67,0)</f>
        <v>8</v>
      </c>
    </row>
    <row r="68" spans="1:19">
      <c r="A68" s="101" t="s">
        <v>208</v>
      </c>
      <c r="B68" s="99" t="s">
        <v>209</v>
      </c>
      <c r="C68" s="99" t="s">
        <v>34</v>
      </c>
      <c r="D68" s="96"/>
      <c r="E68" s="99"/>
      <c r="F68" s="98">
        <v>8.1</v>
      </c>
      <c r="G68" s="99" t="s">
        <v>207</v>
      </c>
      <c r="H68" s="99" t="s">
        <v>57</v>
      </c>
      <c r="I68" s="96" t="s">
        <v>24</v>
      </c>
      <c r="J68" s="96" t="s">
        <v>25</v>
      </c>
      <c r="K68" s="99" t="s">
        <v>148</v>
      </c>
      <c r="L68" s="96" t="s">
        <v>27</v>
      </c>
      <c r="M68" s="96"/>
      <c r="N68" s="96"/>
      <c r="O68" s="96" t="s">
        <v>28</v>
      </c>
      <c r="P68" s="96" t="s">
        <v>29</v>
      </c>
      <c r="Q68" s="96" t="s">
        <v>30</v>
      </c>
      <c r="R68" s="26" t="s">
        <v>31</v>
      </c>
      <c r="S68" s="28">
        <f t="shared" si="1"/>
        <v>8</v>
      </c>
    </row>
    <row r="69" spans="1:19">
      <c r="A69" s="101" t="s">
        <v>210</v>
      </c>
      <c r="B69" s="99" t="s">
        <v>211</v>
      </c>
      <c r="C69" s="99" t="s">
        <v>34</v>
      </c>
      <c r="D69" s="96"/>
      <c r="E69" s="99"/>
      <c r="F69" s="98">
        <v>8.1</v>
      </c>
      <c r="G69" s="99" t="s">
        <v>207</v>
      </c>
      <c r="H69" s="99" t="s">
        <v>57</v>
      </c>
      <c r="I69" s="96" t="s">
        <v>24</v>
      </c>
      <c r="J69" s="96" t="s">
        <v>25</v>
      </c>
      <c r="K69" s="99" t="s">
        <v>148</v>
      </c>
      <c r="L69" s="96" t="s">
        <v>27</v>
      </c>
      <c r="M69" s="96"/>
      <c r="N69" s="96"/>
      <c r="O69" s="96" t="s">
        <v>28</v>
      </c>
      <c r="P69" s="96" t="s">
        <v>29</v>
      </c>
      <c r="Q69" s="96" t="s">
        <v>30</v>
      </c>
      <c r="R69" s="26" t="s">
        <v>31</v>
      </c>
      <c r="S69" s="28">
        <f t="shared" si="1"/>
        <v>8</v>
      </c>
    </row>
    <row r="70" spans="1:19">
      <c r="A70" s="101" t="s">
        <v>212</v>
      </c>
      <c r="B70" s="99" t="s">
        <v>213</v>
      </c>
      <c r="C70" s="99" t="s">
        <v>34</v>
      </c>
      <c r="D70" s="96"/>
      <c r="E70" s="99"/>
      <c r="F70" s="99">
        <v>8.6999999999999993</v>
      </c>
      <c r="G70" s="99" t="s">
        <v>207</v>
      </c>
      <c r="H70" s="99" t="s">
        <v>57</v>
      </c>
      <c r="I70" s="96" t="s">
        <v>24</v>
      </c>
      <c r="J70" s="96" t="s">
        <v>25</v>
      </c>
      <c r="K70" s="99" t="s">
        <v>26</v>
      </c>
      <c r="L70" s="96" t="s">
        <v>27</v>
      </c>
      <c r="M70" s="96"/>
      <c r="N70" s="96"/>
      <c r="O70" s="96" t="s">
        <v>28</v>
      </c>
      <c r="P70" s="96" t="s">
        <v>29</v>
      </c>
      <c r="Q70" s="96" t="s">
        <v>30</v>
      </c>
      <c r="R70" s="26" t="s">
        <v>31</v>
      </c>
      <c r="S70" s="28">
        <f t="shared" si="1"/>
        <v>8</v>
      </c>
    </row>
    <row r="71" spans="1:19">
      <c r="A71" s="101" t="s">
        <v>214</v>
      </c>
      <c r="B71" s="99" t="s">
        <v>215</v>
      </c>
      <c r="C71" s="99" t="s">
        <v>34</v>
      </c>
      <c r="D71" s="96"/>
      <c r="E71" s="99"/>
      <c r="F71" s="99">
        <v>8.6999999999999993</v>
      </c>
      <c r="G71" s="99" t="s">
        <v>207</v>
      </c>
      <c r="H71" s="99" t="s">
        <v>57</v>
      </c>
      <c r="I71" s="96" t="s">
        <v>24</v>
      </c>
      <c r="J71" s="96" t="s">
        <v>25</v>
      </c>
      <c r="K71" s="99" t="s">
        <v>26</v>
      </c>
      <c r="L71" s="96" t="s">
        <v>27</v>
      </c>
      <c r="M71" s="96"/>
      <c r="N71" s="96"/>
      <c r="O71" s="96" t="s">
        <v>28</v>
      </c>
      <c r="P71" s="96" t="s">
        <v>29</v>
      </c>
      <c r="Q71" s="96" t="s">
        <v>30</v>
      </c>
      <c r="R71" s="26" t="s">
        <v>31</v>
      </c>
      <c r="S71" s="28">
        <f t="shared" si="1"/>
        <v>8</v>
      </c>
    </row>
    <row r="72" spans="1:19">
      <c r="A72" s="101" t="s">
        <v>216</v>
      </c>
      <c r="B72" s="99" t="s">
        <v>217</v>
      </c>
      <c r="C72" s="99" t="s">
        <v>34</v>
      </c>
      <c r="D72" s="96"/>
      <c r="E72" s="99"/>
      <c r="F72" s="99">
        <v>8.6999999999999993</v>
      </c>
      <c r="G72" s="99" t="s">
        <v>207</v>
      </c>
      <c r="H72" s="99" t="s">
        <v>57</v>
      </c>
      <c r="I72" s="96" t="s">
        <v>24</v>
      </c>
      <c r="J72" s="96" t="s">
        <v>25</v>
      </c>
      <c r="K72" s="99" t="s">
        <v>26</v>
      </c>
      <c r="L72" s="96" t="s">
        <v>27</v>
      </c>
      <c r="M72" s="96"/>
      <c r="N72" s="96"/>
      <c r="O72" s="96" t="s">
        <v>28</v>
      </c>
      <c r="P72" s="96" t="s">
        <v>29</v>
      </c>
      <c r="Q72" s="96" t="s">
        <v>30</v>
      </c>
      <c r="R72" s="26" t="s">
        <v>31</v>
      </c>
      <c r="S72" s="28">
        <f t="shared" si="1"/>
        <v>8</v>
      </c>
    </row>
    <row r="73" spans="1:19">
      <c r="A73" s="101" t="s">
        <v>218</v>
      </c>
      <c r="B73" s="99" t="s">
        <v>219</v>
      </c>
      <c r="C73" s="99" t="s">
        <v>34</v>
      </c>
      <c r="D73" s="96"/>
      <c r="E73" s="100" t="s">
        <v>21</v>
      </c>
      <c r="F73" s="99">
        <v>9.3000000000000007</v>
      </c>
      <c r="G73" s="99" t="s">
        <v>203</v>
      </c>
      <c r="H73" s="96" t="s">
        <v>204</v>
      </c>
      <c r="I73" s="99" t="s">
        <v>191</v>
      </c>
      <c r="J73" s="96" t="s">
        <v>192</v>
      </c>
      <c r="K73" s="99" t="s">
        <v>43</v>
      </c>
      <c r="L73" s="96" t="s">
        <v>27</v>
      </c>
      <c r="M73" s="96"/>
      <c r="N73" s="96"/>
      <c r="O73" s="96" t="s">
        <v>28</v>
      </c>
      <c r="P73" s="96" t="s">
        <v>29</v>
      </c>
      <c r="Q73" s="96" t="s">
        <v>30</v>
      </c>
      <c r="R73" s="26" t="s">
        <v>31</v>
      </c>
      <c r="S73" s="28">
        <f t="shared" si="1"/>
        <v>9</v>
      </c>
    </row>
    <row r="74" spans="1:19">
      <c r="A74" s="102" t="s">
        <v>220</v>
      </c>
      <c r="B74" s="102" t="s">
        <v>221</v>
      </c>
      <c r="C74" s="99" t="s">
        <v>34</v>
      </c>
      <c r="D74" s="96"/>
      <c r="E74" s="100" t="s">
        <v>21</v>
      </c>
      <c r="F74" s="99">
        <v>8.8000000000000007</v>
      </c>
      <c r="G74" s="99" t="s">
        <v>222</v>
      </c>
      <c r="H74" s="96" t="s">
        <v>204</v>
      </c>
      <c r="I74" s="99" t="s">
        <v>191</v>
      </c>
      <c r="J74" s="96" t="s">
        <v>192</v>
      </c>
      <c r="K74" s="99" t="s">
        <v>43</v>
      </c>
      <c r="L74" s="96" t="s">
        <v>27</v>
      </c>
      <c r="M74" s="99"/>
      <c r="N74" s="99"/>
      <c r="O74" s="96" t="s">
        <v>28</v>
      </c>
      <c r="P74" s="96" t="s">
        <v>29</v>
      </c>
      <c r="Q74" s="96" t="s">
        <v>30</v>
      </c>
      <c r="R74" s="26" t="s">
        <v>31</v>
      </c>
      <c r="S74" s="28">
        <f t="shared" si="1"/>
        <v>8</v>
      </c>
    </row>
    <row r="75" spans="1:19">
      <c r="A75" s="101" t="s">
        <v>223</v>
      </c>
      <c r="B75" s="102" t="s">
        <v>224</v>
      </c>
      <c r="C75" s="99" t="s">
        <v>34</v>
      </c>
      <c r="D75" s="96" t="s">
        <v>21</v>
      </c>
      <c r="E75" s="100" t="s">
        <v>21</v>
      </c>
      <c r="F75" s="99">
        <v>9.1999999999999993</v>
      </c>
      <c r="G75" s="99" t="s">
        <v>225</v>
      </c>
      <c r="H75" s="99" t="s">
        <v>226</v>
      </c>
      <c r="I75" s="99" t="s">
        <v>191</v>
      </c>
      <c r="J75" s="96" t="s">
        <v>192</v>
      </c>
      <c r="K75" s="99" t="s">
        <v>43</v>
      </c>
      <c r="L75" s="96" t="s">
        <v>27</v>
      </c>
      <c r="M75" s="97">
        <v>45026.298611111109</v>
      </c>
      <c r="N75" s="97">
        <v>45026.298611111109</v>
      </c>
      <c r="O75" s="96" t="s">
        <v>28</v>
      </c>
      <c r="P75" s="96" t="s">
        <v>29</v>
      </c>
      <c r="Q75" s="96" t="s">
        <v>30</v>
      </c>
      <c r="R75" s="26" t="s">
        <v>31</v>
      </c>
      <c r="S75" s="28">
        <f t="shared" si="1"/>
        <v>9</v>
      </c>
    </row>
    <row r="76" spans="1:19">
      <c r="A76" s="101" t="s">
        <v>227</v>
      </c>
      <c r="B76" s="99" t="s">
        <v>228</v>
      </c>
      <c r="C76" s="99" t="s">
        <v>34</v>
      </c>
      <c r="D76" s="99"/>
      <c r="E76" s="100" t="s">
        <v>21</v>
      </c>
      <c r="F76" s="99">
        <v>9.3000000000000007</v>
      </c>
      <c r="G76" s="99" t="s">
        <v>229</v>
      </c>
      <c r="H76" s="99" t="s">
        <v>57</v>
      </c>
      <c r="I76" s="99" t="s">
        <v>191</v>
      </c>
      <c r="J76" s="96" t="s">
        <v>230</v>
      </c>
      <c r="K76" s="99" t="s">
        <v>43</v>
      </c>
      <c r="L76" s="96" t="s">
        <v>27</v>
      </c>
      <c r="M76" s="99"/>
      <c r="N76" s="99"/>
      <c r="O76" s="96" t="s">
        <v>28</v>
      </c>
      <c r="P76" s="96" t="s">
        <v>29</v>
      </c>
      <c r="Q76" s="96" t="s">
        <v>30</v>
      </c>
      <c r="R76" s="26" t="s">
        <v>31</v>
      </c>
      <c r="S76" s="28">
        <f t="shared" si="1"/>
        <v>9</v>
      </c>
    </row>
    <row r="77" spans="1:19">
      <c r="A77" s="101" t="s">
        <v>231</v>
      </c>
      <c r="B77" s="102" t="s">
        <v>232</v>
      </c>
      <c r="C77" s="99" t="s">
        <v>34</v>
      </c>
      <c r="D77" s="99"/>
      <c r="E77" s="100" t="s">
        <v>21</v>
      </c>
      <c r="F77" s="99">
        <v>9.3000000000000007</v>
      </c>
      <c r="G77" s="99" t="s">
        <v>233</v>
      </c>
      <c r="H77" s="99" t="s">
        <v>57</v>
      </c>
      <c r="I77" s="99" t="s">
        <v>191</v>
      </c>
      <c r="J77" s="96" t="s">
        <v>230</v>
      </c>
      <c r="K77" s="99" t="s">
        <v>148</v>
      </c>
      <c r="L77" s="96" t="s">
        <v>27</v>
      </c>
      <c r="M77" s="99"/>
      <c r="N77" s="99"/>
      <c r="O77" s="96" t="s">
        <v>28</v>
      </c>
      <c r="P77" s="96" t="s">
        <v>29</v>
      </c>
      <c r="Q77" s="96" t="s">
        <v>30</v>
      </c>
      <c r="R77" s="26" t="s">
        <v>31</v>
      </c>
      <c r="S77" s="28">
        <f t="shared" si="1"/>
        <v>9</v>
      </c>
    </row>
    <row r="78" spans="1:19">
      <c r="A78" s="101" t="s">
        <v>234</v>
      </c>
      <c r="B78" s="102" t="s">
        <v>235</v>
      </c>
      <c r="C78" s="99" t="s">
        <v>34</v>
      </c>
      <c r="D78" s="99"/>
      <c r="E78" s="100" t="s">
        <v>21</v>
      </c>
      <c r="F78" s="99">
        <v>9.3000000000000007</v>
      </c>
      <c r="G78" s="99" t="s">
        <v>233</v>
      </c>
      <c r="H78" s="99" t="s">
        <v>57</v>
      </c>
      <c r="I78" s="99" t="s">
        <v>191</v>
      </c>
      <c r="J78" s="96" t="s">
        <v>230</v>
      </c>
      <c r="K78" s="99" t="s">
        <v>148</v>
      </c>
      <c r="L78" s="96" t="s">
        <v>27</v>
      </c>
      <c r="M78" s="99"/>
      <c r="N78" s="99"/>
      <c r="O78" s="96" t="s">
        <v>28</v>
      </c>
      <c r="P78" s="96" t="s">
        <v>29</v>
      </c>
      <c r="Q78" s="96" t="s">
        <v>30</v>
      </c>
      <c r="R78" s="26" t="s">
        <v>31</v>
      </c>
      <c r="S78" s="28">
        <f t="shared" si="1"/>
        <v>9</v>
      </c>
    </row>
    <row r="79" spans="1:19">
      <c r="A79" s="101" t="s">
        <v>236</v>
      </c>
      <c r="B79" s="99" t="s">
        <v>237</v>
      </c>
      <c r="C79" s="99" t="s">
        <v>34</v>
      </c>
      <c r="D79" s="99"/>
      <c r="E79" s="100" t="s">
        <v>21</v>
      </c>
      <c r="F79" s="99">
        <v>9.4</v>
      </c>
      <c r="G79" s="99" t="s">
        <v>238</v>
      </c>
      <c r="H79" s="99" t="s">
        <v>57</v>
      </c>
      <c r="I79" s="99" t="s">
        <v>191</v>
      </c>
      <c r="J79" s="96" t="s">
        <v>230</v>
      </c>
      <c r="K79" s="99" t="s">
        <v>26</v>
      </c>
      <c r="L79" s="96" t="s">
        <v>27</v>
      </c>
      <c r="M79" s="99"/>
      <c r="N79" s="99"/>
      <c r="O79" s="96" t="s">
        <v>28</v>
      </c>
      <c r="P79" s="96" t="s">
        <v>29</v>
      </c>
      <c r="Q79" s="96" t="s">
        <v>30</v>
      </c>
      <c r="R79" s="26" t="s">
        <v>31</v>
      </c>
      <c r="S79" s="28">
        <f t="shared" si="1"/>
        <v>9</v>
      </c>
    </row>
    <row r="80" spans="1:19">
      <c r="A80" s="101" t="s">
        <v>239</v>
      </c>
      <c r="B80" s="99" t="s">
        <v>240</v>
      </c>
      <c r="C80" s="99" t="s">
        <v>34</v>
      </c>
      <c r="D80" s="99"/>
      <c r="E80" s="100" t="s">
        <v>21</v>
      </c>
      <c r="F80" s="99">
        <v>9.4</v>
      </c>
      <c r="G80" s="99" t="s">
        <v>238</v>
      </c>
      <c r="H80" s="99" t="s">
        <v>57</v>
      </c>
      <c r="I80" s="99" t="s">
        <v>191</v>
      </c>
      <c r="J80" s="96" t="s">
        <v>230</v>
      </c>
      <c r="K80" s="99" t="s">
        <v>26</v>
      </c>
      <c r="L80" s="96" t="s">
        <v>27</v>
      </c>
      <c r="M80" s="99"/>
      <c r="N80" s="99"/>
      <c r="O80" s="96" t="s">
        <v>28</v>
      </c>
      <c r="P80" s="96" t="s">
        <v>29</v>
      </c>
      <c r="Q80" s="96" t="s">
        <v>30</v>
      </c>
      <c r="R80" s="26" t="s">
        <v>31</v>
      </c>
      <c r="S80" s="28">
        <f t="shared" si="1"/>
        <v>9</v>
      </c>
    </row>
    <row r="81" spans="1:19">
      <c r="A81" s="101" t="s">
        <v>241</v>
      </c>
      <c r="B81" s="99" t="s">
        <v>242</v>
      </c>
      <c r="C81" s="99" t="s">
        <v>34</v>
      </c>
      <c r="D81" s="99"/>
      <c r="E81" s="100" t="s">
        <v>21</v>
      </c>
      <c r="F81" s="99">
        <v>9.4</v>
      </c>
      <c r="G81" s="99" t="s">
        <v>243</v>
      </c>
      <c r="H81" s="99" t="s">
        <v>244</v>
      </c>
      <c r="I81" s="99" t="s">
        <v>191</v>
      </c>
      <c r="J81" s="103" t="s">
        <v>192</v>
      </c>
      <c r="K81" s="99" t="s">
        <v>26</v>
      </c>
      <c r="L81" s="96" t="s">
        <v>27</v>
      </c>
      <c r="M81" s="99"/>
      <c r="N81" s="99"/>
      <c r="O81" s="96" t="s">
        <v>28</v>
      </c>
      <c r="P81" s="96" t="s">
        <v>29</v>
      </c>
      <c r="Q81" s="96" t="s">
        <v>30</v>
      </c>
      <c r="R81" s="26" t="s">
        <v>31</v>
      </c>
      <c r="S81" s="28">
        <f t="shared" si="1"/>
        <v>9</v>
      </c>
    </row>
    <row r="82" spans="1:19">
      <c r="A82" s="101" t="s">
        <v>245</v>
      </c>
      <c r="B82" s="99" t="s">
        <v>246</v>
      </c>
      <c r="C82" s="99" t="s">
        <v>34</v>
      </c>
      <c r="D82" s="99"/>
      <c r="E82" s="100" t="s">
        <v>21</v>
      </c>
      <c r="F82" s="99">
        <v>9.4</v>
      </c>
      <c r="G82" s="99" t="s">
        <v>243</v>
      </c>
      <c r="H82" s="99" t="s">
        <v>244</v>
      </c>
      <c r="I82" s="99" t="s">
        <v>191</v>
      </c>
      <c r="J82" s="96" t="s">
        <v>230</v>
      </c>
      <c r="K82" s="99" t="s">
        <v>26</v>
      </c>
      <c r="L82" s="96" t="s">
        <v>27</v>
      </c>
      <c r="M82" s="99"/>
      <c r="N82" s="99"/>
      <c r="O82" s="96" t="s">
        <v>28</v>
      </c>
      <c r="P82" s="99" t="s">
        <v>29</v>
      </c>
      <c r="Q82" s="96" t="s">
        <v>30</v>
      </c>
      <c r="R82" s="26" t="s">
        <v>31</v>
      </c>
      <c r="S82" s="28">
        <f t="shared" si="1"/>
        <v>9</v>
      </c>
    </row>
    <row r="83" spans="1:19">
      <c r="A83" s="104" t="s">
        <v>247</v>
      </c>
      <c r="B83" s="104" t="s">
        <v>248</v>
      </c>
      <c r="C83" s="99" t="s">
        <v>34</v>
      </c>
      <c r="D83" s="99"/>
      <c r="E83" s="100" t="s">
        <v>21</v>
      </c>
      <c r="F83" s="99">
        <v>9.4</v>
      </c>
      <c r="G83" s="99" t="s">
        <v>249</v>
      </c>
      <c r="H83" s="99" t="s">
        <v>250</v>
      </c>
      <c r="I83" s="99" t="s">
        <v>191</v>
      </c>
      <c r="J83" s="99" t="s">
        <v>251</v>
      </c>
      <c r="K83" s="99" t="s">
        <v>43</v>
      </c>
      <c r="L83" s="96" t="s">
        <v>27</v>
      </c>
      <c r="M83" s="99"/>
      <c r="N83" s="99"/>
      <c r="O83" s="96" t="s">
        <v>28</v>
      </c>
      <c r="P83" s="99" t="s">
        <v>29</v>
      </c>
      <c r="Q83" s="96" t="s">
        <v>30</v>
      </c>
      <c r="R83" s="26" t="s">
        <v>31</v>
      </c>
      <c r="S83" s="28">
        <f t="shared" si="1"/>
        <v>9</v>
      </c>
    </row>
    <row r="84" spans="1:19" ht="16">
      <c r="A84" s="105" t="s">
        <v>252</v>
      </c>
      <c r="B84" s="106" t="s">
        <v>253</v>
      </c>
      <c r="C84" s="99" t="s">
        <v>34</v>
      </c>
      <c r="D84" s="99"/>
      <c r="E84" s="99" t="s">
        <v>21</v>
      </c>
      <c r="F84" s="99">
        <v>8.9</v>
      </c>
      <c r="G84" s="107" t="s">
        <v>254</v>
      </c>
      <c r="H84" s="99" t="s">
        <v>93</v>
      </c>
      <c r="I84" s="99" t="s">
        <v>191</v>
      </c>
      <c r="J84" s="103" t="s">
        <v>192</v>
      </c>
      <c r="K84" s="99" t="s">
        <v>26</v>
      </c>
      <c r="L84" s="96" t="s">
        <v>27</v>
      </c>
      <c r="M84" s="99"/>
      <c r="N84" s="99"/>
      <c r="O84" s="96" t="s">
        <v>28</v>
      </c>
      <c r="P84" s="99" t="s">
        <v>29</v>
      </c>
      <c r="Q84" s="96" t="s">
        <v>30</v>
      </c>
      <c r="R84" s="26" t="s">
        <v>31</v>
      </c>
      <c r="S84" s="28">
        <f t="shared" si="1"/>
        <v>8</v>
      </c>
    </row>
    <row r="85" spans="1:19">
      <c r="A85" s="104" t="s">
        <v>255</v>
      </c>
      <c r="B85" s="104" t="s">
        <v>256</v>
      </c>
      <c r="C85" s="99" t="s">
        <v>34</v>
      </c>
      <c r="D85" s="99"/>
      <c r="E85" s="99" t="s">
        <v>21</v>
      </c>
      <c r="F85" s="99">
        <v>9.4</v>
      </c>
      <c r="G85" s="99" t="s">
        <v>257</v>
      </c>
      <c r="H85" s="99" t="s">
        <v>258</v>
      </c>
      <c r="I85" s="99" t="s">
        <v>191</v>
      </c>
      <c r="J85" s="99" t="s">
        <v>251</v>
      </c>
      <c r="K85" s="99" t="s">
        <v>43</v>
      </c>
      <c r="L85" s="96" t="s">
        <v>27</v>
      </c>
      <c r="M85" s="99"/>
      <c r="N85" s="99"/>
      <c r="O85" s="96" t="s">
        <v>28</v>
      </c>
      <c r="P85" s="99" t="s">
        <v>29</v>
      </c>
      <c r="Q85" s="96" t="s">
        <v>30</v>
      </c>
      <c r="R85" s="26" t="s">
        <v>31</v>
      </c>
      <c r="S85" s="28">
        <f t="shared" si="1"/>
        <v>9</v>
      </c>
    </row>
    <row r="86" spans="1:19">
      <c r="A86" s="104" t="s">
        <v>259</v>
      </c>
      <c r="B86" s="104" t="s">
        <v>260</v>
      </c>
      <c r="C86" s="99" t="s">
        <v>34</v>
      </c>
      <c r="D86" s="99"/>
      <c r="E86" s="99" t="s">
        <v>21</v>
      </c>
      <c r="F86" s="99">
        <v>9.4</v>
      </c>
      <c r="G86" s="99" t="s">
        <v>257</v>
      </c>
      <c r="H86" s="99" t="s">
        <v>258</v>
      </c>
      <c r="I86" s="99" t="s">
        <v>191</v>
      </c>
      <c r="J86" s="99" t="s">
        <v>251</v>
      </c>
      <c r="K86" s="99" t="s">
        <v>43</v>
      </c>
      <c r="L86" s="96" t="s">
        <v>27</v>
      </c>
      <c r="M86" s="99"/>
      <c r="N86" s="99"/>
      <c r="O86" s="96" t="s">
        <v>28</v>
      </c>
      <c r="P86" s="99" t="s">
        <v>29</v>
      </c>
      <c r="Q86" s="96" t="s">
        <v>30</v>
      </c>
      <c r="R86" s="26" t="s">
        <v>31</v>
      </c>
      <c r="S86" s="28">
        <f t="shared" si="1"/>
        <v>9</v>
      </c>
    </row>
    <row r="87" spans="1:19">
      <c r="A87" s="101" t="s">
        <v>261</v>
      </c>
      <c r="B87" s="108" t="s">
        <v>262</v>
      </c>
      <c r="C87" s="99" t="s">
        <v>34</v>
      </c>
      <c r="D87" s="99"/>
      <c r="E87" s="100" t="s">
        <v>21</v>
      </c>
      <c r="F87" s="99">
        <v>9.4</v>
      </c>
      <c r="G87" s="99" t="s">
        <v>263</v>
      </c>
      <c r="H87" s="99" t="s">
        <v>57</v>
      </c>
      <c r="I87" s="99" t="s">
        <v>191</v>
      </c>
      <c r="J87" s="96" t="s">
        <v>230</v>
      </c>
      <c r="K87" s="99" t="s">
        <v>43</v>
      </c>
      <c r="L87" s="96" t="s">
        <v>27</v>
      </c>
      <c r="M87" s="99"/>
      <c r="N87" s="99"/>
      <c r="O87" s="96" t="s">
        <v>28</v>
      </c>
      <c r="P87" s="99" t="s">
        <v>29</v>
      </c>
      <c r="Q87" s="96" t="s">
        <v>30</v>
      </c>
      <c r="R87" s="26" t="s">
        <v>31</v>
      </c>
      <c r="S87" s="28">
        <f t="shared" si="1"/>
        <v>9</v>
      </c>
    </row>
    <row r="88" spans="1:19">
      <c r="A88" s="101" t="s">
        <v>264</v>
      </c>
      <c r="B88" s="99" t="s">
        <v>265</v>
      </c>
      <c r="C88" s="99" t="s">
        <v>34</v>
      </c>
      <c r="D88" s="99"/>
      <c r="E88" s="99" t="s">
        <v>21</v>
      </c>
      <c r="F88" s="99">
        <v>9.4</v>
      </c>
      <c r="G88" s="99" t="s">
        <v>266</v>
      </c>
      <c r="H88" s="109" t="s">
        <v>190</v>
      </c>
      <c r="I88" s="99" t="s">
        <v>191</v>
      </c>
      <c r="J88" s="96" t="s">
        <v>192</v>
      </c>
      <c r="K88" s="99" t="s">
        <v>26</v>
      </c>
      <c r="L88" s="96" t="s">
        <v>27</v>
      </c>
      <c r="M88" s="99"/>
      <c r="N88" s="99"/>
      <c r="O88" s="96" t="s">
        <v>28</v>
      </c>
      <c r="P88" s="99" t="s">
        <v>29</v>
      </c>
      <c r="Q88" s="96" t="s">
        <v>30</v>
      </c>
      <c r="R88" s="26" t="s">
        <v>31</v>
      </c>
      <c r="S88" s="28">
        <f t="shared" si="1"/>
        <v>9</v>
      </c>
    </row>
    <row r="89" spans="1:19">
      <c r="A89" s="99" t="s">
        <v>267</v>
      </c>
      <c r="B89" s="99" t="s">
        <v>268</v>
      </c>
      <c r="C89" s="99" t="s">
        <v>34</v>
      </c>
      <c r="D89" s="99"/>
      <c r="E89" s="99" t="s">
        <v>21</v>
      </c>
      <c r="F89" s="99">
        <v>9.4</v>
      </c>
      <c r="G89" s="99" t="s">
        <v>269</v>
      </c>
      <c r="H89" s="99" t="s">
        <v>57</v>
      </c>
      <c r="I89" s="99" t="s">
        <v>191</v>
      </c>
      <c r="J89" s="96" t="s">
        <v>230</v>
      </c>
      <c r="K89" s="99" t="s">
        <v>148</v>
      </c>
      <c r="L89" s="96" t="s">
        <v>27</v>
      </c>
      <c r="M89" s="99"/>
      <c r="N89" s="99"/>
      <c r="O89" s="96" t="s">
        <v>28</v>
      </c>
      <c r="P89" s="99" t="s">
        <v>29</v>
      </c>
      <c r="Q89" s="96" t="s">
        <v>30</v>
      </c>
      <c r="R89" s="26" t="s">
        <v>31</v>
      </c>
      <c r="S89" s="28">
        <f t="shared" si="1"/>
        <v>9</v>
      </c>
    </row>
    <row r="90" spans="1:19">
      <c r="A90" s="99" t="s">
        <v>270</v>
      </c>
      <c r="B90" s="99" t="s">
        <v>271</v>
      </c>
      <c r="C90" s="99" t="s">
        <v>34</v>
      </c>
      <c r="D90" s="99"/>
      <c r="E90" s="99" t="s">
        <v>21</v>
      </c>
      <c r="F90" s="99">
        <v>9.4</v>
      </c>
      <c r="G90" s="99" t="s">
        <v>269</v>
      </c>
      <c r="H90" s="99" t="s">
        <v>57</v>
      </c>
      <c r="I90" s="99" t="s">
        <v>191</v>
      </c>
      <c r="J90" s="96" t="s">
        <v>230</v>
      </c>
      <c r="K90" s="99" t="s">
        <v>148</v>
      </c>
      <c r="L90" s="96" t="s">
        <v>27</v>
      </c>
      <c r="M90" s="99"/>
      <c r="N90" s="99"/>
      <c r="O90" s="96" t="s">
        <v>28</v>
      </c>
      <c r="P90" s="99" t="s">
        <v>29</v>
      </c>
      <c r="Q90" s="96" t="s">
        <v>30</v>
      </c>
      <c r="R90" s="26" t="s">
        <v>31</v>
      </c>
      <c r="S90" s="28">
        <f t="shared" si="1"/>
        <v>9</v>
      </c>
    </row>
    <row r="91" spans="1:19">
      <c r="A91" s="99" t="s">
        <v>272</v>
      </c>
      <c r="B91" s="109" t="s">
        <v>273</v>
      </c>
      <c r="C91" s="99" t="s">
        <v>34</v>
      </c>
      <c r="D91" s="99"/>
      <c r="E91" s="99" t="s">
        <v>21</v>
      </c>
      <c r="F91" s="99">
        <v>9.4</v>
      </c>
      <c r="G91" s="99" t="s">
        <v>249</v>
      </c>
      <c r="H91" s="99" t="s">
        <v>274</v>
      </c>
      <c r="I91" s="99" t="s">
        <v>191</v>
      </c>
      <c r="J91" s="99" t="s">
        <v>251</v>
      </c>
      <c r="K91" s="99" t="s">
        <v>26</v>
      </c>
      <c r="L91" s="96" t="s">
        <v>27</v>
      </c>
      <c r="M91" s="99"/>
      <c r="N91" s="99"/>
      <c r="O91" s="96" t="s">
        <v>28</v>
      </c>
      <c r="P91" s="99" t="s">
        <v>29</v>
      </c>
      <c r="Q91" s="96" t="s">
        <v>30</v>
      </c>
      <c r="R91" s="26" t="s">
        <v>31</v>
      </c>
      <c r="S91" s="28">
        <f t="shared" si="1"/>
        <v>9</v>
      </c>
    </row>
    <row r="92" spans="1:19">
      <c r="A92" s="99" t="s">
        <v>275</v>
      </c>
      <c r="B92" s="99" t="s">
        <v>276</v>
      </c>
      <c r="C92" s="99" t="s">
        <v>34</v>
      </c>
      <c r="D92" s="99"/>
      <c r="E92" s="99" t="s">
        <v>21</v>
      </c>
      <c r="F92" s="99">
        <v>9.4</v>
      </c>
      <c r="G92" s="99" t="s">
        <v>277</v>
      </c>
      <c r="H92" s="99" t="s">
        <v>57</v>
      </c>
      <c r="I92" s="99" t="s">
        <v>191</v>
      </c>
      <c r="J92" s="96" t="s">
        <v>230</v>
      </c>
      <c r="K92" s="99" t="s">
        <v>26</v>
      </c>
      <c r="L92" s="96" t="s">
        <v>27</v>
      </c>
      <c r="M92" s="99"/>
      <c r="N92" s="99"/>
      <c r="O92" s="96" t="s">
        <v>28</v>
      </c>
      <c r="P92" s="99" t="s">
        <v>29</v>
      </c>
      <c r="Q92" s="99" t="s">
        <v>30</v>
      </c>
      <c r="R92" s="24" t="s">
        <v>31</v>
      </c>
      <c r="S92" s="28">
        <f t="shared" si="1"/>
        <v>9</v>
      </c>
    </row>
    <row r="93" spans="1:19">
      <c r="A93" s="99" t="s">
        <v>278</v>
      </c>
      <c r="B93" s="99" t="s">
        <v>279</v>
      </c>
      <c r="C93" s="99" t="s">
        <v>34</v>
      </c>
      <c r="D93" s="99"/>
      <c r="E93" s="99" t="s">
        <v>21</v>
      </c>
      <c r="F93" s="99">
        <v>9.4</v>
      </c>
      <c r="G93" s="99" t="s">
        <v>277</v>
      </c>
      <c r="H93" s="99" t="s">
        <v>57</v>
      </c>
      <c r="I93" s="99" t="s">
        <v>191</v>
      </c>
      <c r="J93" s="96" t="s">
        <v>230</v>
      </c>
      <c r="K93" s="99" t="s">
        <v>26</v>
      </c>
      <c r="L93" s="96" t="s">
        <v>27</v>
      </c>
      <c r="M93" s="99"/>
      <c r="N93" s="99"/>
      <c r="O93" s="96" t="s">
        <v>28</v>
      </c>
      <c r="P93" s="99" t="s">
        <v>29</v>
      </c>
      <c r="Q93" s="99" t="s">
        <v>30</v>
      </c>
      <c r="R93" s="24" t="s">
        <v>31</v>
      </c>
      <c r="S93" s="28">
        <f t="shared" si="1"/>
        <v>9</v>
      </c>
    </row>
    <row r="94" spans="1:19">
      <c r="A94" s="99" t="s">
        <v>280</v>
      </c>
      <c r="B94" s="99" t="s">
        <v>281</v>
      </c>
      <c r="C94" s="99" t="s">
        <v>34</v>
      </c>
      <c r="D94" s="99"/>
      <c r="E94" s="99" t="s">
        <v>21</v>
      </c>
      <c r="F94" s="99">
        <v>9.4</v>
      </c>
      <c r="G94" s="99" t="s">
        <v>282</v>
      </c>
      <c r="H94" s="99" t="s">
        <v>190</v>
      </c>
      <c r="I94" s="96" t="s">
        <v>24</v>
      </c>
      <c r="J94" s="99" t="s">
        <v>283</v>
      </c>
      <c r="K94" s="99" t="s">
        <v>26</v>
      </c>
      <c r="L94" s="96" t="s">
        <v>27</v>
      </c>
      <c r="M94" s="99"/>
      <c r="N94" s="99"/>
      <c r="O94" s="96" t="s">
        <v>28</v>
      </c>
      <c r="P94" s="99" t="s">
        <v>29</v>
      </c>
      <c r="Q94" s="96" t="s">
        <v>30</v>
      </c>
      <c r="R94" s="26" t="s">
        <v>31</v>
      </c>
      <c r="S94" s="28">
        <f t="shared" si="1"/>
        <v>9</v>
      </c>
    </row>
    <row r="95" spans="1:19">
      <c r="A95" s="99" t="s">
        <v>284</v>
      </c>
      <c r="B95" s="99" t="s">
        <v>285</v>
      </c>
      <c r="C95" s="99" t="s">
        <v>34</v>
      </c>
      <c r="D95" s="99"/>
      <c r="E95" s="99" t="s">
        <v>21</v>
      </c>
      <c r="F95" s="99">
        <v>9.4</v>
      </c>
      <c r="G95" s="99" t="s">
        <v>286</v>
      </c>
      <c r="H95" s="109" t="s">
        <v>190</v>
      </c>
      <c r="I95" s="99" t="s">
        <v>191</v>
      </c>
      <c r="J95" s="103" t="s">
        <v>192</v>
      </c>
      <c r="K95" s="99" t="s">
        <v>26</v>
      </c>
      <c r="L95" s="96" t="s">
        <v>27</v>
      </c>
      <c r="M95" s="99"/>
      <c r="N95" s="99"/>
      <c r="O95" s="96" t="s">
        <v>28</v>
      </c>
      <c r="P95" s="99" t="s">
        <v>29</v>
      </c>
      <c r="Q95" s="99" t="s">
        <v>30</v>
      </c>
      <c r="R95" s="24" t="s">
        <v>31</v>
      </c>
      <c r="S95" s="28">
        <f t="shared" si="1"/>
        <v>9</v>
      </c>
    </row>
    <row r="96" spans="1:19" ht="16">
      <c r="A96" s="103" t="s">
        <v>287</v>
      </c>
      <c r="B96" s="103" t="s">
        <v>288</v>
      </c>
      <c r="C96" s="103" t="s">
        <v>34</v>
      </c>
      <c r="D96" s="103"/>
      <c r="E96" s="103" t="s">
        <v>289</v>
      </c>
      <c r="F96" s="98">
        <v>8.1</v>
      </c>
      <c r="G96" s="110" t="s">
        <v>290</v>
      </c>
      <c r="H96" s="103" t="s">
        <v>291</v>
      </c>
      <c r="I96" s="96" t="s">
        <v>24</v>
      </c>
      <c r="J96" s="103" t="s">
        <v>25</v>
      </c>
      <c r="K96" s="103" t="s">
        <v>26</v>
      </c>
      <c r="L96" s="103" t="s">
        <v>27</v>
      </c>
      <c r="M96" s="103"/>
      <c r="N96" s="103"/>
      <c r="O96" s="111" t="s">
        <v>28</v>
      </c>
      <c r="P96" s="103" t="s">
        <v>29</v>
      </c>
      <c r="Q96" s="103" t="s">
        <v>30</v>
      </c>
      <c r="R96" s="28" t="s">
        <v>31</v>
      </c>
      <c r="S96" s="28">
        <f t="shared" si="1"/>
        <v>8</v>
      </c>
    </row>
    <row r="97" spans="1:19">
      <c r="A97" s="103" t="s">
        <v>292</v>
      </c>
      <c r="B97" s="103" t="s">
        <v>293</v>
      </c>
      <c r="C97" s="103" t="s">
        <v>34</v>
      </c>
      <c r="D97" s="103"/>
      <c r="E97" s="103" t="s">
        <v>21</v>
      </c>
      <c r="F97" s="103">
        <v>9.4</v>
      </c>
      <c r="G97" s="103" t="s">
        <v>294</v>
      </c>
      <c r="H97" s="103" t="s">
        <v>295</v>
      </c>
      <c r="I97" s="99" t="s">
        <v>191</v>
      </c>
      <c r="J97" s="103" t="s">
        <v>192</v>
      </c>
      <c r="K97" s="103" t="s">
        <v>148</v>
      </c>
      <c r="L97" s="103" t="s">
        <v>27</v>
      </c>
      <c r="M97" s="103"/>
      <c r="N97" s="103"/>
      <c r="O97" s="111" t="s">
        <v>28</v>
      </c>
      <c r="P97" s="103" t="s">
        <v>29</v>
      </c>
      <c r="Q97" s="103" t="s">
        <v>30</v>
      </c>
      <c r="R97" s="28" t="s">
        <v>31</v>
      </c>
      <c r="S97" s="28">
        <f t="shared" si="1"/>
        <v>9</v>
      </c>
    </row>
    <row r="98" spans="1:19">
      <c r="A98" s="112" t="s">
        <v>296</v>
      </c>
      <c r="B98" s="103" t="s">
        <v>297</v>
      </c>
      <c r="C98" s="103" t="s">
        <v>34</v>
      </c>
      <c r="D98" s="103"/>
      <c r="E98" s="103" t="s">
        <v>21</v>
      </c>
      <c r="F98" s="103">
        <v>9.5</v>
      </c>
      <c r="G98" s="113" t="s">
        <v>298</v>
      </c>
      <c r="H98" s="103" t="s">
        <v>299</v>
      </c>
      <c r="I98" s="99" t="s">
        <v>191</v>
      </c>
      <c r="J98" s="103" t="s">
        <v>192</v>
      </c>
      <c r="K98" s="103" t="s">
        <v>43</v>
      </c>
      <c r="L98" s="103" t="s">
        <v>27</v>
      </c>
      <c r="M98" s="103"/>
      <c r="N98" s="103"/>
      <c r="O98" s="111" t="s">
        <v>28</v>
      </c>
      <c r="P98" s="103" t="s">
        <v>29</v>
      </c>
      <c r="Q98" s="103" t="s">
        <v>30</v>
      </c>
      <c r="R98" s="28" t="s">
        <v>31</v>
      </c>
      <c r="S98" s="28">
        <f t="shared" si="1"/>
        <v>9</v>
      </c>
    </row>
    <row r="99" spans="1:19">
      <c r="A99" s="103" t="s">
        <v>300</v>
      </c>
      <c r="B99" s="103" t="s">
        <v>301</v>
      </c>
      <c r="C99" s="103" t="s">
        <v>34</v>
      </c>
      <c r="D99" s="103"/>
      <c r="E99" s="103" t="s">
        <v>21</v>
      </c>
      <c r="F99" s="103">
        <v>9.4</v>
      </c>
      <c r="G99" s="103" t="s">
        <v>302</v>
      </c>
      <c r="H99" s="103" t="s">
        <v>57</v>
      </c>
      <c r="I99" s="99" t="s">
        <v>191</v>
      </c>
      <c r="J99" s="103" t="s">
        <v>192</v>
      </c>
      <c r="K99" s="103" t="s">
        <v>43</v>
      </c>
      <c r="L99" s="103" t="s">
        <v>27</v>
      </c>
      <c r="M99" s="103"/>
      <c r="N99" s="103"/>
      <c r="O99" s="111" t="s">
        <v>28</v>
      </c>
      <c r="P99" s="103" t="s">
        <v>29</v>
      </c>
      <c r="Q99" s="103" t="s">
        <v>30</v>
      </c>
      <c r="R99" s="28" t="s">
        <v>31</v>
      </c>
      <c r="S99" s="28">
        <f t="shared" si="1"/>
        <v>9</v>
      </c>
    </row>
    <row r="100" spans="1:19" ht="14.25" customHeight="1">
      <c r="A100" s="103" t="s">
        <v>303</v>
      </c>
      <c r="B100" s="103" t="s">
        <v>304</v>
      </c>
      <c r="C100" s="103" t="s">
        <v>34</v>
      </c>
      <c r="D100" s="103"/>
      <c r="E100" s="103" t="s">
        <v>21</v>
      </c>
      <c r="F100" s="103">
        <v>9.5</v>
      </c>
      <c r="G100" s="114" t="s">
        <v>302</v>
      </c>
      <c r="H100" s="103" t="s">
        <v>305</v>
      </c>
      <c r="I100" s="99" t="s">
        <v>191</v>
      </c>
      <c r="J100" s="103" t="s">
        <v>192</v>
      </c>
      <c r="K100" s="103" t="s">
        <v>148</v>
      </c>
      <c r="L100" s="103" t="s">
        <v>27</v>
      </c>
      <c r="M100" s="103"/>
      <c r="N100" s="103"/>
      <c r="O100" s="111" t="s">
        <v>28</v>
      </c>
      <c r="P100" s="103" t="s">
        <v>29</v>
      </c>
      <c r="Q100" s="103" t="s">
        <v>30</v>
      </c>
      <c r="R100" s="28" t="s">
        <v>31</v>
      </c>
      <c r="S100" s="28">
        <f t="shared" si="1"/>
        <v>9</v>
      </c>
    </row>
    <row r="101" spans="1:19">
      <c r="A101" s="103" t="s">
        <v>306</v>
      </c>
      <c r="B101" s="103" t="s">
        <v>307</v>
      </c>
      <c r="C101" s="103" t="s">
        <v>34</v>
      </c>
      <c r="D101" s="103"/>
      <c r="E101" s="103" t="s">
        <v>21</v>
      </c>
      <c r="F101" s="103">
        <v>9.5</v>
      </c>
      <c r="G101" s="103" t="s">
        <v>308</v>
      </c>
      <c r="H101" s="103" t="s">
        <v>57</v>
      </c>
      <c r="I101" s="99" t="s">
        <v>191</v>
      </c>
      <c r="J101" s="103" t="s">
        <v>192</v>
      </c>
      <c r="K101" s="103" t="s">
        <v>148</v>
      </c>
      <c r="L101" s="103" t="s">
        <v>27</v>
      </c>
      <c r="M101" s="103"/>
      <c r="N101" s="103"/>
      <c r="O101" s="103" t="s">
        <v>28</v>
      </c>
      <c r="P101" s="103" t="s">
        <v>29</v>
      </c>
      <c r="Q101" s="103" t="s">
        <v>30</v>
      </c>
      <c r="R101" s="28" t="s">
        <v>31</v>
      </c>
      <c r="S101" s="28" t="s">
        <v>309</v>
      </c>
    </row>
    <row r="102" spans="1:19">
      <c r="A102" s="103" t="s">
        <v>310</v>
      </c>
      <c r="B102" s="103" t="s">
        <v>311</v>
      </c>
      <c r="C102" s="103" t="s">
        <v>34</v>
      </c>
      <c r="D102" s="103"/>
      <c r="E102" s="103" t="s">
        <v>21</v>
      </c>
      <c r="F102" s="103">
        <v>9.5</v>
      </c>
      <c r="G102" s="103" t="s">
        <v>308</v>
      </c>
      <c r="H102" s="103" t="s">
        <v>57</v>
      </c>
      <c r="I102" s="99" t="s">
        <v>191</v>
      </c>
      <c r="J102" s="103" t="s">
        <v>192</v>
      </c>
      <c r="K102" s="103" t="s">
        <v>148</v>
      </c>
      <c r="L102" s="103" t="s">
        <v>27</v>
      </c>
      <c r="M102" s="103"/>
      <c r="N102" s="103"/>
      <c r="O102" s="103" t="s">
        <v>28</v>
      </c>
      <c r="P102" s="103" t="s">
        <v>29</v>
      </c>
      <c r="Q102" s="103" t="s">
        <v>30</v>
      </c>
      <c r="R102" s="28" t="s">
        <v>31</v>
      </c>
      <c r="S102" s="28">
        <f t="shared" si="1"/>
        <v>9</v>
      </c>
    </row>
    <row r="103" spans="1:19" ht="15" customHeight="1">
      <c r="A103" s="103" t="s">
        <v>312</v>
      </c>
      <c r="B103" s="103" t="s">
        <v>313</v>
      </c>
      <c r="C103" s="103" t="s">
        <v>34</v>
      </c>
      <c r="D103" s="115"/>
      <c r="E103" s="103" t="s">
        <v>21</v>
      </c>
      <c r="F103" s="103">
        <v>9.6</v>
      </c>
      <c r="G103" s="103" t="s">
        <v>314</v>
      </c>
      <c r="H103" s="103" t="s">
        <v>315</v>
      </c>
      <c r="I103" s="103" t="s">
        <v>191</v>
      </c>
      <c r="J103" s="103" t="s">
        <v>192</v>
      </c>
      <c r="K103" s="103" t="s">
        <v>43</v>
      </c>
      <c r="L103" s="103" t="s">
        <v>27</v>
      </c>
      <c r="M103" s="103"/>
      <c r="N103" s="103"/>
      <c r="O103" s="103" t="s">
        <v>28</v>
      </c>
      <c r="P103" s="103" t="s">
        <v>29</v>
      </c>
      <c r="Q103" s="103" t="s">
        <v>30</v>
      </c>
      <c r="R103" s="28" t="s">
        <v>31</v>
      </c>
      <c r="S103" s="28">
        <f t="shared" si="1"/>
        <v>9</v>
      </c>
    </row>
    <row r="104" spans="1:19" ht="15" customHeight="1">
      <c r="A104" s="103" t="s">
        <v>316</v>
      </c>
      <c r="B104" s="103" t="s">
        <v>317</v>
      </c>
      <c r="C104" s="103" t="s">
        <v>34</v>
      </c>
      <c r="D104" s="103"/>
      <c r="E104" s="103" t="s">
        <v>21</v>
      </c>
      <c r="F104" s="103">
        <v>9.6</v>
      </c>
      <c r="G104" s="103" t="s">
        <v>308</v>
      </c>
      <c r="H104" s="103" t="s">
        <v>57</v>
      </c>
      <c r="I104" s="99" t="s">
        <v>191</v>
      </c>
      <c r="J104" s="103" t="s">
        <v>192</v>
      </c>
      <c r="K104" s="103" t="s">
        <v>318</v>
      </c>
      <c r="L104" s="103" t="s">
        <v>27</v>
      </c>
      <c r="M104" s="103"/>
      <c r="N104" s="103"/>
      <c r="O104" s="103" t="s">
        <v>28</v>
      </c>
      <c r="P104" s="103" t="s">
        <v>29</v>
      </c>
      <c r="Q104" s="103" t="s">
        <v>30</v>
      </c>
      <c r="R104" s="28" t="s">
        <v>31</v>
      </c>
      <c r="S104" s="28">
        <f t="shared" si="1"/>
        <v>9</v>
      </c>
    </row>
    <row r="105" spans="1:19" ht="15" customHeight="1">
      <c r="A105" s="103" t="s">
        <v>319</v>
      </c>
      <c r="B105" s="103" t="s">
        <v>320</v>
      </c>
      <c r="C105" s="103" t="s">
        <v>34</v>
      </c>
      <c r="D105" s="103"/>
      <c r="E105" s="103" t="s">
        <v>21</v>
      </c>
      <c r="F105" s="103">
        <v>9.6</v>
      </c>
      <c r="G105" s="103" t="s">
        <v>308</v>
      </c>
      <c r="H105" s="103" t="s">
        <v>57</v>
      </c>
      <c r="I105" s="99" t="s">
        <v>191</v>
      </c>
      <c r="J105" s="103" t="s">
        <v>192</v>
      </c>
      <c r="K105" s="103" t="s">
        <v>318</v>
      </c>
      <c r="L105" s="103" t="s">
        <v>27</v>
      </c>
      <c r="M105" s="103"/>
      <c r="N105" s="103"/>
      <c r="O105" s="103" t="s">
        <v>28</v>
      </c>
      <c r="P105" s="103" t="s">
        <v>29</v>
      </c>
      <c r="Q105" s="103" t="s">
        <v>30</v>
      </c>
      <c r="R105" s="28" t="s">
        <v>31</v>
      </c>
      <c r="S105" s="28">
        <f t="shared" si="1"/>
        <v>9</v>
      </c>
    </row>
    <row r="106" spans="1:19" ht="15" customHeight="1">
      <c r="A106" s="103" t="s">
        <v>321</v>
      </c>
      <c r="B106" s="103" t="s">
        <v>322</v>
      </c>
      <c r="C106" s="103" t="s">
        <v>34</v>
      </c>
      <c r="D106" s="103"/>
      <c r="E106" s="103" t="s">
        <v>21</v>
      </c>
      <c r="F106" s="103">
        <v>9.6</v>
      </c>
      <c r="G106" s="103" t="s">
        <v>308</v>
      </c>
      <c r="H106" s="103" t="s">
        <v>57</v>
      </c>
      <c r="I106" s="103" t="s">
        <v>24</v>
      </c>
      <c r="J106" s="103" t="s">
        <v>25</v>
      </c>
      <c r="K106" s="103" t="s">
        <v>318</v>
      </c>
      <c r="L106" s="103" t="s">
        <v>27</v>
      </c>
      <c r="M106" s="103"/>
      <c r="N106" s="103"/>
      <c r="O106" s="103" t="s">
        <v>28</v>
      </c>
      <c r="P106" s="103" t="s">
        <v>29</v>
      </c>
      <c r="Q106" s="103"/>
      <c r="R106" s="28"/>
      <c r="S106" s="28">
        <v>9</v>
      </c>
    </row>
    <row r="107" spans="1:19" ht="15" customHeight="1">
      <c r="A107" s="103" t="s">
        <v>323</v>
      </c>
      <c r="B107" s="103" t="s">
        <v>324</v>
      </c>
      <c r="C107" s="103" t="s">
        <v>34</v>
      </c>
      <c r="D107" s="103"/>
      <c r="E107" s="103" t="s">
        <v>21</v>
      </c>
      <c r="F107" s="103">
        <v>9.4</v>
      </c>
      <c r="G107" s="103" t="s">
        <v>308</v>
      </c>
      <c r="H107" s="103" t="s">
        <v>57</v>
      </c>
      <c r="I107" s="103" t="s">
        <v>24</v>
      </c>
      <c r="J107" s="103" t="s">
        <v>25</v>
      </c>
      <c r="K107" s="103" t="s">
        <v>148</v>
      </c>
      <c r="L107" s="103" t="s">
        <v>27</v>
      </c>
      <c r="M107" s="103"/>
      <c r="N107" s="103"/>
      <c r="O107" s="103" t="s">
        <v>28</v>
      </c>
      <c r="P107" s="103" t="s">
        <v>29</v>
      </c>
      <c r="Q107" s="103"/>
      <c r="R107" s="28"/>
      <c r="S107" s="28">
        <v>9</v>
      </c>
    </row>
    <row r="108" spans="1:19">
      <c r="A108" s="95" t="s">
        <v>325</v>
      </c>
      <c r="B108" s="96" t="s">
        <v>326</v>
      </c>
      <c r="C108" s="96" t="s">
        <v>327</v>
      </c>
      <c r="D108" s="96"/>
      <c r="E108" s="96"/>
      <c r="F108" s="96"/>
      <c r="G108" s="96" t="s">
        <v>328</v>
      </c>
      <c r="H108" s="96" t="s">
        <v>102</v>
      </c>
      <c r="I108" s="96" t="s">
        <v>24</v>
      </c>
      <c r="J108" s="96" t="s">
        <v>103</v>
      </c>
      <c r="K108" s="96" t="s">
        <v>131</v>
      </c>
      <c r="L108" s="96" t="s">
        <v>27</v>
      </c>
      <c r="M108" s="97">
        <v>44385.423611111109</v>
      </c>
      <c r="N108" s="97">
        <v>44434.400694444441</v>
      </c>
      <c r="O108" s="96" t="s">
        <v>28</v>
      </c>
      <c r="P108" s="96" t="s">
        <v>29</v>
      </c>
      <c r="Q108" s="96" t="s">
        <v>132</v>
      </c>
      <c r="R108" s="26"/>
      <c r="S108" s="24"/>
    </row>
    <row r="109" spans="1:19">
      <c r="A109" s="95" t="s">
        <v>329</v>
      </c>
      <c r="B109" s="96" t="s">
        <v>330</v>
      </c>
      <c r="C109" s="96" t="s">
        <v>327</v>
      </c>
      <c r="D109" s="96"/>
      <c r="E109" s="96"/>
      <c r="F109" s="96"/>
      <c r="G109" s="96" t="s">
        <v>328</v>
      </c>
      <c r="H109" s="96" t="s">
        <v>102</v>
      </c>
      <c r="I109" s="96" t="s">
        <v>24</v>
      </c>
      <c r="J109" s="96" t="s">
        <v>103</v>
      </c>
      <c r="K109" s="96" t="s">
        <v>131</v>
      </c>
      <c r="L109" s="96" t="s">
        <v>27</v>
      </c>
      <c r="M109" s="97">
        <v>44385.423611111109</v>
      </c>
      <c r="N109" s="97">
        <v>44434.400694444441</v>
      </c>
      <c r="O109" s="96" t="s">
        <v>28</v>
      </c>
      <c r="P109" s="96" t="s">
        <v>29</v>
      </c>
      <c r="Q109" s="96" t="s">
        <v>132</v>
      </c>
      <c r="R109" s="26"/>
      <c r="S109" s="24"/>
    </row>
    <row r="110" spans="1:19">
      <c r="A110" s="95" t="s">
        <v>331</v>
      </c>
      <c r="B110" s="96" t="s">
        <v>332</v>
      </c>
      <c r="C110" s="96" t="s">
        <v>327</v>
      </c>
      <c r="D110" s="96"/>
      <c r="E110" s="96"/>
      <c r="F110" s="96"/>
      <c r="G110" s="96" t="s">
        <v>328</v>
      </c>
      <c r="H110" s="96" t="s">
        <v>102</v>
      </c>
      <c r="I110" s="96" t="s">
        <v>24</v>
      </c>
      <c r="J110" s="96" t="s">
        <v>103</v>
      </c>
      <c r="K110" s="96" t="s">
        <v>131</v>
      </c>
      <c r="L110" s="96" t="s">
        <v>27</v>
      </c>
      <c r="M110" s="97">
        <v>44385.423611111109</v>
      </c>
      <c r="N110" s="97">
        <v>44434.400694444441</v>
      </c>
      <c r="O110" s="96" t="s">
        <v>28</v>
      </c>
      <c r="P110" s="96" t="s">
        <v>29</v>
      </c>
      <c r="Q110" s="96" t="s">
        <v>132</v>
      </c>
      <c r="R110" s="26"/>
      <c r="S110" s="24"/>
    </row>
    <row r="111" spans="1:19">
      <c r="A111" s="95" t="s">
        <v>333</v>
      </c>
      <c r="B111" s="96" t="s">
        <v>334</v>
      </c>
      <c r="C111" s="96" t="s">
        <v>327</v>
      </c>
      <c r="D111" s="96"/>
      <c r="E111" s="96"/>
      <c r="F111" s="96"/>
      <c r="G111" s="96" t="s">
        <v>328</v>
      </c>
      <c r="H111" s="96" t="s">
        <v>102</v>
      </c>
      <c r="I111" s="96" t="s">
        <v>24</v>
      </c>
      <c r="J111" s="96" t="s">
        <v>103</v>
      </c>
      <c r="K111" s="96" t="s">
        <v>131</v>
      </c>
      <c r="L111" s="96" t="s">
        <v>27</v>
      </c>
      <c r="M111" s="97">
        <v>44385.423611111109</v>
      </c>
      <c r="N111" s="97">
        <v>44434.400694444441</v>
      </c>
      <c r="O111" s="96" t="s">
        <v>28</v>
      </c>
      <c r="P111" s="96" t="s">
        <v>29</v>
      </c>
      <c r="Q111" s="96" t="s">
        <v>132</v>
      </c>
      <c r="R111" s="26"/>
      <c r="S111" s="24"/>
    </row>
    <row r="112" spans="1:19">
      <c r="A112" s="95" t="s">
        <v>335</v>
      </c>
      <c r="B112" s="96" t="s">
        <v>336</v>
      </c>
      <c r="C112" s="96" t="s">
        <v>327</v>
      </c>
      <c r="D112" s="96"/>
      <c r="E112" s="96"/>
      <c r="F112" s="96"/>
      <c r="G112" s="96" t="s">
        <v>337</v>
      </c>
      <c r="H112" s="96" t="s">
        <v>102</v>
      </c>
      <c r="I112" s="96" t="s">
        <v>24</v>
      </c>
      <c r="J112" s="96" t="s">
        <v>103</v>
      </c>
      <c r="K112" s="96" t="s">
        <v>338</v>
      </c>
      <c r="L112" s="96" t="s">
        <v>27</v>
      </c>
      <c r="M112" s="97">
        <v>44385.423611111109</v>
      </c>
      <c r="N112" s="97">
        <v>44434.400694444441</v>
      </c>
      <c r="O112" s="96" t="s">
        <v>28</v>
      </c>
      <c r="P112" s="96" t="s">
        <v>29</v>
      </c>
      <c r="Q112" s="96" t="s">
        <v>132</v>
      </c>
      <c r="R112" s="26"/>
      <c r="S112" s="24"/>
    </row>
    <row r="113" spans="1:19">
      <c r="A113" s="95" t="s">
        <v>339</v>
      </c>
      <c r="B113" s="96" t="s">
        <v>340</v>
      </c>
      <c r="C113" s="96" t="s">
        <v>327</v>
      </c>
      <c r="D113" s="96"/>
      <c r="E113" s="96"/>
      <c r="F113" s="96"/>
      <c r="G113" s="96" t="s">
        <v>328</v>
      </c>
      <c r="H113" s="96" t="s">
        <v>102</v>
      </c>
      <c r="I113" s="96" t="s">
        <v>24</v>
      </c>
      <c r="J113" s="96" t="s">
        <v>103</v>
      </c>
      <c r="K113" s="96" t="s">
        <v>131</v>
      </c>
      <c r="L113" s="96" t="s">
        <v>27</v>
      </c>
      <c r="M113" s="97">
        <v>44385.423611111109</v>
      </c>
      <c r="N113" s="97">
        <v>44434.400694444441</v>
      </c>
      <c r="O113" s="96" t="s">
        <v>28</v>
      </c>
      <c r="P113" s="96" t="s">
        <v>29</v>
      </c>
      <c r="Q113" s="96" t="s">
        <v>132</v>
      </c>
      <c r="R113" s="26"/>
      <c r="S113" s="24"/>
    </row>
    <row r="114" spans="1:19">
      <c r="A114" s="95" t="s">
        <v>341</v>
      </c>
      <c r="B114" s="96" t="s">
        <v>342</v>
      </c>
      <c r="C114" s="96" t="s">
        <v>327</v>
      </c>
      <c r="D114" s="96"/>
      <c r="E114" s="96"/>
      <c r="F114" s="96"/>
      <c r="G114" s="96" t="s">
        <v>328</v>
      </c>
      <c r="H114" s="96" t="s">
        <v>102</v>
      </c>
      <c r="I114" s="96" t="s">
        <v>24</v>
      </c>
      <c r="J114" s="96" t="s">
        <v>103</v>
      </c>
      <c r="K114" s="96" t="s">
        <v>131</v>
      </c>
      <c r="L114" s="96" t="s">
        <v>27</v>
      </c>
      <c r="M114" s="97">
        <v>44385.423611111109</v>
      </c>
      <c r="N114" s="97">
        <v>44434.400694444441</v>
      </c>
      <c r="O114" s="96" t="s">
        <v>28</v>
      </c>
      <c r="P114" s="96" t="s">
        <v>29</v>
      </c>
      <c r="Q114" s="96" t="s">
        <v>132</v>
      </c>
      <c r="R114" s="26"/>
      <c r="S114" s="24"/>
    </row>
    <row r="115" spans="1:19">
      <c r="A115" s="95" t="s">
        <v>343</v>
      </c>
      <c r="B115" s="96" t="s">
        <v>344</v>
      </c>
      <c r="C115" s="96" t="s">
        <v>327</v>
      </c>
      <c r="D115" s="96"/>
      <c r="E115" s="96"/>
      <c r="F115" s="96"/>
      <c r="G115" s="96" t="s">
        <v>328</v>
      </c>
      <c r="H115" s="96" t="s">
        <v>102</v>
      </c>
      <c r="I115" s="96" t="s">
        <v>24</v>
      </c>
      <c r="J115" s="96" t="s">
        <v>103</v>
      </c>
      <c r="K115" s="96" t="s">
        <v>131</v>
      </c>
      <c r="L115" s="96" t="s">
        <v>27</v>
      </c>
      <c r="M115" s="97">
        <v>44385.423611111109</v>
      </c>
      <c r="N115" s="97">
        <v>44434.400694444441</v>
      </c>
      <c r="O115" s="96" t="s">
        <v>28</v>
      </c>
      <c r="P115" s="96" t="s">
        <v>29</v>
      </c>
      <c r="Q115" s="96" t="s">
        <v>132</v>
      </c>
      <c r="R115" s="26"/>
      <c r="S115" s="24"/>
    </row>
    <row r="116" spans="1:19">
      <c r="A116" s="95" t="s">
        <v>345</v>
      </c>
      <c r="B116" s="96" t="s">
        <v>346</v>
      </c>
      <c r="C116" s="96" t="s">
        <v>327</v>
      </c>
      <c r="D116" s="96"/>
      <c r="E116" s="96"/>
      <c r="F116" s="96"/>
      <c r="G116" s="96" t="s">
        <v>130</v>
      </c>
      <c r="H116" s="96" t="s">
        <v>102</v>
      </c>
      <c r="I116" s="96" t="s">
        <v>24</v>
      </c>
      <c r="J116" s="96" t="s">
        <v>103</v>
      </c>
      <c r="K116" s="96" t="s">
        <v>131</v>
      </c>
      <c r="L116" s="96" t="s">
        <v>27</v>
      </c>
      <c r="M116" s="97">
        <v>44385.423611111109</v>
      </c>
      <c r="N116" s="97">
        <v>44434.400694444441</v>
      </c>
      <c r="O116" s="96" t="s">
        <v>28</v>
      </c>
      <c r="P116" s="96" t="s">
        <v>29</v>
      </c>
      <c r="Q116" s="96" t="s">
        <v>132</v>
      </c>
      <c r="R116" s="26"/>
      <c r="S116" s="24"/>
    </row>
    <row r="117" spans="1:19">
      <c r="A117" s="95" t="s">
        <v>347</v>
      </c>
      <c r="B117" s="96" t="s">
        <v>348</v>
      </c>
      <c r="C117" s="96" t="s">
        <v>327</v>
      </c>
      <c r="D117" s="96"/>
      <c r="E117" s="96"/>
      <c r="F117" s="96"/>
      <c r="G117" s="96" t="s">
        <v>328</v>
      </c>
      <c r="H117" s="96" t="s">
        <v>102</v>
      </c>
      <c r="I117" s="96" t="s">
        <v>24</v>
      </c>
      <c r="J117" s="96" t="s">
        <v>103</v>
      </c>
      <c r="K117" s="96" t="s">
        <v>131</v>
      </c>
      <c r="L117" s="96" t="s">
        <v>27</v>
      </c>
      <c r="M117" s="97">
        <v>44385.423611111109</v>
      </c>
      <c r="N117" s="97">
        <v>44434.400694444441</v>
      </c>
      <c r="O117" s="96" t="s">
        <v>28</v>
      </c>
      <c r="P117" s="96" t="s">
        <v>29</v>
      </c>
      <c r="Q117" s="96" t="s">
        <v>132</v>
      </c>
      <c r="R117" s="26"/>
      <c r="S117" s="24"/>
    </row>
    <row r="118" spans="1:19">
      <c r="A118" s="95" t="s">
        <v>349</v>
      </c>
      <c r="B118" s="96" t="s">
        <v>350</v>
      </c>
      <c r="C118" s="96" t="s">
        <v>327</v>
      </c>
      <c r="D118" s="96"/>
      <c r="E118" s="96"/>
      <c r="F118" s="96"/>
      <c r="G118" s="96" t="s">
        <v>130</v>
      </c>
      <c r="H118" s="96" t="s">
        <v>102</v>
      </c>
      <c r="I118" s="96" t="s">
        <v>24</v>
      </c>
      <c r="J118" s="96" t="s">
        <v>103</v>
      </c>
      <c r="K118" s="96" t="s">
        <v>131</v>
      </c>
      <c r="L118" s="96" t="s">
        <v>27</v>
      </c>
      <c r="M118" s="97">
        <v>44385.423611111109</v>
      </c>
      <c r="N118" s="97">
        <v>44434.400694444441</v>
      </c>
      <c r="O118" s="96" t="s">
        <v>28</v>
      </c>
      <c r="P118" s="96" t="s">
        <v>29</v>
      </c>
      <c r="Q118" s="96" t="s">
        <v>132</v>
      </c>
      <c r="R118" s="26"/>
      <c r="S118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C6DB-AD2B-4F3A-8B8D-361F2F398F54}">
  <dimension ref="A1:L63"/>
  <sheetViews>
    <sheetView topLeftCell="A42" workbookViewId="0">
      <selection activeCell="C62" sqref="C62"/>
    </sheetView>
  </sheetViews>
  <sheetFormatPr baseColWidth="10" defaultColWidth="8.83203125" defaultRowHeight="15"/>
  <cols>
    <col min="1" max="1" width="20.1640625" bestFit="1" customWidth="1"/>
    <col min="2" max="2" width="24.83203125" bestFit="1" customWidth="1"/>
    <col min="3" max="3" width="12.83203125" bestFit="1" customWidth="1"/>
    <col min="4" max="4" width="11.33203125" bestFit="1" customWidth="1"/>
    <col min="5" max="5" width="13.83203125" bestFit="1" customWidth="1"/>
    <col min="6" max="6" width="16.5" bestFit="1" customWidth="1"/>
    <col min="7" max="7" width="10.6640625" bestFit="1" customWidth="1"/>
    <col min="8" max="8" width="17.6640625" bestFit="1" customWidth="1"/>
    <col min="9" max="9" width="28.33203125" bestFit="1" customWidth="1"/>
    <col min="10" max="11" width="36.5" bestFit="1" customWidth="1"/>
    <col min="12" max="12" width="11" bestFit="1" customWidth="1"/>
  </cols>
  <sheetData>
    <row r="1" spans="1:12" ht="16">
      <c r="A1" s="41" t="s">
        <v>351</v>
      </c>
      <c r="B1" s="42" t="s">
        <v>352</v>
      </c>
      <c r="C1" s="42" t="s">
        <v>353</v>
      </c>
      <c r="D1" s="42" t="s">
        <v>354</v>
      </c>
      <c r="E1" s="42" t="s">
        <v>2</v>
      </c>
      <c r="F1" s="42" t="s">
        <v>5</v>
      </c>
      <c r="G1" s="42" t="s">
        <v>355</v>
      </c>
      <c r="H1" s="42" t="s">
        <v>356</v>
      </c>
      <c r="I1" s="42" t="s">
        <v>357</v>
      </c>
      <c r="J1" s="55" t="s">
        <v>358</v>
      </c>
      <c r="K1" s="55" t="s">
        <v>359</v>
      </c>
      <c r="L1" s="42" t="s">
        <v>360</v>
      </c>
    </row>
    <row r="2" spans="1:12">
      <c r="A2" s="73" t="s">
        <v>361</v>
      </c>
      <c r="B2" s="74" t="s">
        <v>362</v>
      </c>
      <c r="C2" s="45" t="s">
        <v>363</v>
      </c>
      <c r="D2" s="75" t="s">
        <v>364</v>
      </c>
      <c r="E2" s="75" t="s">
        <v>365</v>
      </c>
      <c r="F2" s="75" t="s">
        <v>366</v>
      </c>
      <c r="G2" s="75" t="s">
        <v>367</v>
      </c>
      <c r="H2" s="75" t="s">
        <v>368</v>
      </c>
      <c r="I2" s="75" t="s">
        <v>369</v>
      </c>
      <c r="J2" s="76" t="s">
        <v>28</v>
      </c>
      <c r="K2" s="76" t="s">
        <v>370</v>
      </c>
      <c r="L2" s="75" t="s">
        <v>371</v>
      </c>
    </row>
    <row r="3" spans="1:12">
      <c r="A3" s="73"/>
      <c r="B3" s="74"/>
      <c r="C3" s="45" t="s">
        <v>372</v>
      </c>
      <c r="D3" s="75" t="s">
        <v>364</v>
      </c>
      <c r="E3" s="75" t="s">
        <v>365</v>
      </c>
      <c r="F3" s="75" t="s">
        <v>366</v>
      </c>
      <c r="G3" s="75" t="s">
        <v>373</v>
      </c>
      <c r="H3" s="75" t="s">
        <v>368</v>
      </c>
      <c r="I3" s="75" t="s">
        <v>369</v>
      </c>
      <c r="J3" s="76" t="s">
        <v>28</v>
      </c>
      <c r="K3" s="76" t="s">
        <v>370</v>
      </c>
      <c r="L3" s="75" t="s">
        <v>371</v>
      </c>
    </row>
    <row r="4" spans="1:12">
      <c r="A4" s="73"/>
      <c r="B4" s="74"/>
      <c r="C4" s="45" t="s">
        <v>374</v>
      </c>
      <c r="D4" s="75" t="s">
        <v>364</v>
      </c>
      <c r="E4" s="75" t="s">
        <v>375</v>
      </c>
      <c r="F4" s="75" t="s">
        <v>376</v>
      </c>
      <c r="G4" s="75" t="s">
        <v>377</v>
      </c>
      <c r="H4" s="75" t="s">
        <v>378</v>
      </c>
      <c r="I4" s="75" t="s">
        <v>379</v>
      </c>
      <c r="J4" s="76" t="s">
        <v>380</v>
      </c>
      <c r="K4" s="76" t="s">
        <v>381</v>
      </c>
      <c r="L4" s="75" t="s">
        <v>371</v>
      </c>
    </row>
    <row r="5" spans="1:12">
      <c r="A5" s="73"/>
      <c r="B5" s="74"/>
      <c r="C5" s="45" t="s">
        <v>382</v>
      </c>
      <c r="D5" s="75" t="s">
        <v>364</v>
      </c>
      <c r="E5" s="75" t="s">
        <v>375</v>
      </c>
      <c r="F5" s="75" t="s">
        <v>376</v>
      </c>
      <c r="G5" s="75" t="s">
        <v>383</v>
      </c>
      <c r="H5" s="75" t="s">
        <v>378</v>
      </c>
      <c r="I5" s="75" t="s">
        <v>379</v>
      </c>
      <c r="J5" s="76" t="s">
        <v>380</v>
      </c>
      <c r="K5" s="76" t="s">
        <v>381</v>
      </c>
      <c r="L5" s="75" t="s">
        <v>371</v>
      </c>
    </row>
    <row r="6" spans="1:12">
      <c r="A6" s="73"/>
      <c r="B6" s="74"/>
      <c r="C6" s="45" t="s">
        <v>384</v>
      </c>
      <c r="D6" s="75" t="s">
        <v>364</v>
      </c>
      <c r="E6" s="75" t="s">
        <v>375</v>
      </c>
      <c r="F6" s="75" t="s">
        <v>376</v>
      </c>
      <c r="G6" s="75" t="s">
        <v>385</v>
      </c>
      <c r="H6" s="75" t="s">
        <v>378</v>
      </c>
      <c r="I6" s="75" t="s">
        <v>386</v>
      </c>
      <c r="J6" s="76" t="s">
        <v>387</v>
      </c>
      <c r="K6" s="76" t="s">
        <v>388</v>
      </c>
      <c r="L6" s="75" t="s">
        <v>371</v>
      </c>
    </row>
    <row r="7" spans="1:12" ht="30">
      <c r="A7" s="73"/>
      <c r="B7" s="74"/>
      <c r="C7" s="45" t="s">
        <v>389</v>
      </c>
      <c r="D7" s="75" t="s">
        <v>364</v>
      </c>
      <c r="E7" s="75" t="s">
        <v>375</v>
      </c>
      <c r="F7" s="75" t="s">
        <v>376</v>
      </c>
      <c r="G7" s="75" t="s">
        <v>390</v>
      </c>
      <c r="H7" s="75" t="s">
        <v>391</v>
      </c>
      <c r="I7" s="75" t="s">
        <v>392</v>
      </c>
      <c r="J7" s="76" t="s">
        <v>393</v>
      </c>
      <c r="K7" s="76" t="s">
        <v>394</v>
      </c>
      <c r="L7" s="75" t="s">
        <v>371</v>
      </c>
    </row>
    <row r="8" spans="1:12">
      <c r="A8" s="73"/>
      <c r="B8" s="74"/>
      <c r="C8" s="45" t="s">
        <v>395</v>
      </c>
      <c r="D8" s="75" t="s">
        <v>364</v>
      </c>
      <c r="E8" s="75" t="s">
        <v>375</v>
      </c>
      <c r="F8" s="75" t="s">
        <v>376</v>
      </c>
      <c r="G8" s="75" t="s">
        <v>396</v>
      </c>
      <c r="H8" s="75" t="s">
        <v>391</v>
      </c>
      <c r="I8" s="75" t="s">
        <v>386</v>
      </c>
      <c r="J8" s="76" t="s">
        <v>387</v>
      </c>
      <c r="K8" s="76" t="s">
        <v>388</v>
      </c>
      <c r="L8" s="75" t="s">
        <v>371</v>
      </c>
    </row>
    <row r="9" spans="1:12" ht="30">
      <c r="A9" s="73"/>
      <c r="B9" s="74"/>
      <c r="C9" s="45" t="s">
        <v>397</v>
      </c>
      <c r="D9" s="75" t="s">
        <v>364</v>
      </c>
      <c r="E9" s="75" t="s">
        <v>375</v>
      </c>
      <c r="F9" s="75" t="s">
        <v>376</v>
      </c>
      <c r="G9" s="75" t="s">
        <v>398</v>
      </c>
      <c r="H9" s="75" t="s">
        <v>391</v>
      </c>
      <c r="I9" s="75" t="s">
        <v>399</v>
      </c>
      <c r="J9" s="76" t="s">
        <v>400</v>
      </c>
      <c r="K9" s="76" t="s">
        <v>401</v>
      </c>
      <c r="L9" s="75" t="s">
        <v>371</v>
      </c>
    </row>
    <row r="10" spans="1:12">
      <c r="A10" s="73"/>
      <c r="B10" s="74"/>
      <c r="C10" s="45" t="s">
        <v>402</v>
      </c>
      <c r="D10" s="75" t="s">
        <v>364</v>
      </c>
      <c r="E10" s="75" t="s">
        <v>375</v>
      </c>
      <c r="F10" s="75" t="s">
        <v>376</v>
      </c>
      <c r="G10" s="75" t="s">
        <v>403</v>
      </c>
      <c r="H10" s="75" t="s">
        <v>391</v>
      </c>
      <c r="I10" s="75" t="s">
        <v>379</v>
      </c>
      <c r="J10" s="76" t="s">
        <v>380</v>
      </c>
      <c r="K10" s="76" t="s">
        <v>381</v>
      </c>
      <c r="L10" s="75" t="s">
        <v>371</v>
      </c>
    </row>
    <row r="11" spans="1:12">
      <c r="A11" s="73"/>
      <c r="B11" s="74"/>
      <c r="C11" s="45" t="s">
        <v>404</v>
      </c>
      <c r="D11" s="75" t="s">
        <v>364</v>
      </c>
      <c r="E11" s="75" t="s">
        <v>375</v>
      </c>
      <c r="F11" s="75" t="s">
        <v>376</v>
      </c>
      <c r="G11" s="75" t="s">
        <v>405</v>
      </c>
      <c r="H11" s="75" t="s">
        <v>391</v>
      </c>
      <c r="I11" s="75" t="s">
        <v>406</v>
      </c>
      <c r="J11" s="76" t="s">
        <v>380</v>
      </c>
      <c r="K11" s="76" t="s">
        <v>407</v>
      </c>
      <c r="L11" s="75" t="s">
        <v>371</v>
      </c>
    </row>
    <row r="12" spans="1:12" ht="30">
      <c r="A12" s="73"/>
      <c r="B12" s="74"/>
      <c r="C12" s="45" t="s">
        <v>408</v>
      </c>
      <c r="D12" s="75" t="s">
        <v>364</v>
      </c>
      <c r="E12" s="75" t="s">
        <v>375</v>
      </c>
      <c r="F12" s="75" t="s">
        <v>376</v>
      </c>
      <c r="G12" s="75" t="s">
        <v>409</v>
      </c>
      <c r="H12" s="75" t="s">
        <v>391</v>
      </c>
      <c r="I12" s="75" t="s">
        <v>410</v>
      </c>
      <c r="J12" s="76" t="s">
        <v>411</v>
      </c>
      <c r="K12" s="76" t="s">
        <v>412</v>
      </c>
      <c r="L12" s="75" t="s">
        <v>371</v>
      </c>
    </row>
    <row r="13" spans="1:12">
      <c r="A13" s="73"/>
      <c r="B13" s="74"/>
      <c r="C13" s="45" t="s">
        <v>413</v>
      </c>
      <c r="D13" s="75" t="s">
        <v>364</v>
      </c>
      <c r="E13" s="75" t="s">
        <v>375</v>
      </c>
      <c r="F13" s="75" t="s">
        <v>376</v>
      </c>
      <c r="G13" s="75" t="s">
        <v>414</v>
      </c>
      <c r="H13" s="75" t="s">
        <v>391</v>
      </c>
      <c r="I13" s="75" t="s">
        <v>415</v>
      </c>
      <c r="J13" s="76" t="s">
        <v>416</v>
      </c>
      <c r="K13" s="76" t="s">
        <v>417</v>
      </c>
      <c r="L13" s="75" t="s">
        <v>371</v>
      </c>
    </row>
    <row r="14" spans="1:12">
      <c r="A14" s="73"/>
      <c r="B14" s="74"/>
      <c r="C14" s="45" t="s">
        <v>418</v>
      </c>
      <c r="D14" s="75" t="s">
        <v>364</v>
      </c>
      <c r="E14" s="75" t="s">
        <v>375</v>
      </c>
      <c r="F14" s="75" t="s">
        <v>376</v>
      </c>
      <c r="G14" s="75" t="s">
        <v>419</v>
      </c>
      <c r="H14" s="75" t="s">
        <v>391</v>
      </c>
      <c r="I14" s="75" t="s">
        <v>420</v>
      </c>
      <c r="J14" s="76" t="s">
        <v>416</v>
      </c>
      <c r="K14" s="76" t="s">
        <v>417</v>
      </c>
      <c r="L14" s="75" t="s">
        <v>371</v>
      </c>
    </row>
    <row r="15" spans="1:12">
      <c r="A15" s="73"/>
      <c r="B15" s="74"/>
      <c r="C15" s="45" t="s">
        <v>421</v>
      </c>
      <c r="D15" s="75" t="s">
        <v>364</v>
      </c>
      <c r="E15" s="75" t="s">
        <v>375</v>
      </c>
      <c r="F15" s="75" t="s">
        <v>376</v>
      </c>
      <c r="G15" s="75" t="s">
        <v>422</v>
      </c>
      <c r="H15" s="75" t="s">
        <v>391</v>
      </c>
      <c r="I15" s="75" t="s">
        <v>379</v>
      </c>
      <c r="J15" s="76" t="s">
        <v>380</v>
      </c>
      <c r="K15" s="76" t="s">
        <v>381</v>
      </c>
      <c r="L15" s="75" t="s">
        <v>371</v>
      </c>
    </row>
    <row r="16" spans="1:12" ht="30">
      <c r="A16" s="73"/>
      <c r="B16" s="74"/>
      <c r="C16" s="45" t="s">
        <v>423</v>
      </c>
      <c r="D16" s="75" t="s">
        <v>364</v>
      </c>
      <c r="E16" s="75" t="s">
        <v>375</v>
      </c>
      <c r="F16" s="75" t="s">
        <v>376</v>
      </c>
      <c r="G16" s="75" t="s">
        <v>424</v>
      </c>
      <c r="H16" s="75" t="s">
        <v>148</v>
      </c>
      <c r="I16" s="75" t="s">
        <v>392</v>
      </c>
      <c r="J16" s="76" t="s">
        <v>393</v>
      </c>
      <c r="K16" s="76" t="s">
        <v>394</v>
      </c>
      <c r="L16" s="75" t="s">
        <v>371</v>
      </c>
    </row>
    <row r="17" spans="1:12">
      <c r="A17" s="73"/>
      <c r="B17" s="74"/>
      <c r="C17" s="45" t="s">
        <v>425</v>
      </c>
      <c r="D17" s="75" t="s">
        <v>364</v>
      </c>
      <c r="E17" s="75" t="s">
        <v>375</v>
      </c>
      <c r="F17" s="75" t="s">
        <v>376</v>
      </c>
      <c r="G17" s="75" t="s">
        <v>426</v>
      </c>
      <c r="H17" s="75" t="s">
        <v>148</v>
      </c>
      <c r="I17" s="75" t="s">
        <v>386</v>
      </c>
      <c r="J17" s="76" t="s">
        <v>387</v>
      </c>
      <c r="K17" s="76" t="s">
        <v>388</v>
      </c>
      <c r="L17" s="75" t="s">
        <v>371</v>
      </c>
    </row>
    <row r="18" spans="1:12" ht="30">
      <c r="A18" s="73"/>
      <c r="B18" s="74"/>
      <c r="C18" s="45" t="s">
        <v>427</v>
      </c>
      <c r="D18" s="75" t="s">
        <v>364</v>
      </c>
      <c r="E18" s="75" t="s">
        <v>375</v>
      </c>
      <c r="F18" s="75" t="s">
        <v>376</v>
      </c>
      <c r="G18" s="75" t="s">
        <v>428</v>
      </c>
      <c r="H18" s="75" t="s">
        <v>148</v>
      </c>
      <c r="I18" s="75" t="s">
        <v>399</v>
      </c>
      <c r="J18" s="76" t="s">
        <v>400</v>
      </c>
      <c r="K18" s="76" t="s">
        <v>401</v>
      </c>
      <c r="L18" s="75" t="s">
        <v>371</v>
      </c>
    </row>
    <row r="19" spans="1:12">
      <c r="A19" s="73"/>
      <c r="B19" s="74"/>
      <c r="C19" s="45" t="s">
        <v>429</v>
      </c>
      <c r="D19" s="75" t="s">
        <v>364</v>
      </c>
      <c r="E19" s="75" t="s">
        <v>375</v>
      </c>
      <c r="F19" s="75" t="s">
        <v>376</v>
      </c>
      <c r="G19" s="75" t="s">
        <v>430</v>
      </c>
      <c r="H19" s="75" t="s">
        <v>148</v>
      </c>
      <c r="I19" s="75" t="s">
        <v>379</v>
      </c>
      <c r="J19" s="76" t="s">
        <v>380</v>
      </c>
      <c r="K19" s="76" t="s">
        <v>381</v>
      </c>
      <c r="L19" s="75" t="s">
        <v>371</v>
      </c>
    </row>
    <row r="20" spans="1:12">
      <c r="A20" s="73"/>
      <c r="B20" s="74"/>
      <c r="C20" s="45" t="s">
        <v>431</v>
      </c>
      <c r="D20" s="45" t="s">
        <v>364</v>
      </c>
      <c r="E20" s="45" t="s">
        <v>375</v>
      </c>
      <c r="F20" s="75" t="s">
        <v>376</v>
      </c>
      <c r="G20" s="45" t="s">
        <v>432</v>
      </c>
      <c r="H20" s="45" t="s">
        <v>148</v>
      </c>
      <c r="I20" s="45" t="s">
        <v>406</v>
      </c>
      <c r="J20" s="77" t="s">
        <v>380</v>
      </c>
      <c r="K20" s="76" t="s">
        <v>407</v>
      </c>
      <c r="L20" s="75" t="s">
        <v>371</v>
      </c>
    </row>
    <row r="21" spans="1:12" ht="30">
      <c r="A21" s="73"/>
      <c r="B21" s="74"/>
      <c r="C21" s="45" t="s">
        <v>433</v>
      </c>
      <c r="D21" s="75" t="s">
        <v>364</v>
      </c>
      <c r="E21" s="75" t="s">
        <v>375</v>
      </c>
      <c r="F21" s="75" t="s">
        <v>376</v>
      </c>
      <c r="G21" s="75" t="s">
        <v>434</v>
      </c>
      <c r="H21" s="75" t="s">
        <v>148</v>
      </c>
      <c r="I21" s="75" t="s">
        <v>410</v>
      </c>
      <c r="J21" s="76" t="s">
        <v>411</v>
      </c>
      <c r="K21" s="76" t="s">
        <v>412</v>
      </c>
      <c r="L21" s="75" t="s">
        <v>371</v>
      </c>
    </row>
    <row r="22" spans="1:12">
      <c r="A22" s="73"/>
      <c r="B22" s="74"/>
      <c r="C22" s="45" t="s">
        <v>435</v>
      </c>
      <c r="D22" s="75" t="s">
        <v>364</v>
      </c>
      <c r="E22" s="75" t="s">
        <v>375</v>
      </c>
      <c r="F22" s="75" t="s">
        <v>376</v>
      </c>
      <c r="G22" s="75" t="s">
        <v>436</v>
      </c>
      <c r="H22" s="75" t="s">
        <v>148</v>
      </c>
      <c r="I22" s="75" t="s">
        <v>415</v>
      </c>
      <c r="J22" s="76" t="s">
        <v>416</v>
      </c>
      <c r="K22" s="76" t="s">
        <v>417</v>
      </c>
      <c r="L22" s="75" t="s">
        <v>371</v>
      </c>
    </row>
    <row r="23" spans="1:12">
      <c r="A23" s="73"/>
      <c r="B23" s="74"/>
      <c r="C23" s="45" t="s">
        <v>437</v>
      </c>
      <c r="D23" s="75" t="s">
        <v>364</v>
      </c>
      <c r="E23" s="75" t="s">
        <v>375</v>
      </c>
      <c r="F23" s="75" t="s">
        <v>376</v>
      </c>
      <c r="G23" s="75" t="s">
        <v>438</v>
      </c>
      <c r="H23" s="75" t="s">
        <v>148</v>
      </c>
      <c r="I23" s="75" t="s">
        <v>420</v>
      </c>
      <c r="J23" s="76" t="s">
        <v>416</v>
      </c>
      <c r="K23" s="76" t="s">
        <v>417</v>
      </c>
      <c r="L23" s="75" t="s">
        <v>371</v>
      </c>
    </row>
    <row r="24" spans="1:12">
      <c r="A24" s="73"/>
      <c r="B24" s="74"/>
      <c r="C24" s="45" t="s">
        <v>439</v>
      </c>
      <c r="D24" s="75" t="s">
        <v>364</v>
      </c>
      <c r="E24" s="75" t="s">
        <v>375</v>
      </c>
      <c r="F24" s="75" t="s">
        <v>376</v>
      </c>
      <c r="G24" s="75" t="s">
        <v>440</v>
      </c>
      <c r="H24" s="75" t="s">
        <v>148</v>
      </c>
      <c r="I24" s="75" t="s">
        <v>379</v>
      </c>
      <c r="J24" s="76" t="s">
        <v>380</v>
      </c>
      <c r="K24" s="76" t="s">
        <v>381</v>
      </c>
      <c r="L24" s="75" t="s">
        <v>371</v>
      </c>
    </row>
    <row r="25" spans="1:12" ht="30">
      <c r="A25" s="73"/>
      <c r="B25" s="74"/>
      <c r="C25" s="45" t="s">
        <v>441</v>
      </c>
      <c r="D25" s="75" t="s">
        <v>364</v>
      </c>
      <c r="E25" s="75" t="s">
        <v>375</v>
      </c>
      <c r="F25" s="75" t="s">
        <v>376</v>
      </c>
      <c r="G25" s="75" t="s">
        <v>442</v>
      </c>
      <c r="H25" s="75" t="s">
        <v>378</v>
      </c>
      <c r="I25" s="75" t="s">
        <v>443</v>
      </c>
      <c r="J25" s="76" t="s">
        <v>444</v>
      </c>
      <c r="K25" s="76" t="s">
        <v>401</v>
      </c>
      <c r="L25" s="75" t="s">
        <v>371</v>
      </c>
    </row>
    <row r="26" spans="1:12">
      <c r="A26" s="73"/>
      <c r="B26" s="74"/>
      <c r="C26" s="45" t="s">
        <v>445</v>
      </c>
      <c r="D26" s="75" t="s">
        <v>364</v>
      </c>
      <c r="E26" s="75" t="s">
        <v>375</v>
      </c>
      <c r="F26" s="75" t="s">
        <v>376</v>
      </c>
      <c r="G26" s="75" t="s">
        <v>446</v>
      </c>
      <c r="H26" s="75" t="s">
        <v>378</v>
      </c>
      <c r="I26" s="75" t="s">
        <v>415</v>
      </c>
      <c r="J26" s="76" t="s">
        <v>416</v>
      </c>
      <c r="K26" s="76" t="s">
        <v>417</v>
      </c>
      <c r="L26" s="75" t="s">
        <v>371</v>
      </c>
    </row>
    <row r="27" spans="1:12">
      <c r="A27" s="73"/>
      <c r="B27" s="74"/>
      <c r="C27" s="45" t="s">
        <v>447</v>
      </c>
      <c r="D27" s="45" t="s">
        <v>364</v>
      </c>
      <c r="E27" s="45" t="s">
        <v>375</v>
      </c>
      <c r="F27" s="75" t="s">
        <v>376</v>
      </c>
      <c r="G27" s="45" t="s">
        <v>448</v>
      </c>
      <c r="H27" s="45" t="s">
        <v>391</v>
      </c>
      <c r="I27" s="45" t="s">
        <v>449</v>
      </c>
      <c r="J27" s="77" t="s">
        <v>450</v>
      </c>
      <c r="K27" s="77" t="s">
        <v>451</v>
      </c>
      <c r="L27" s="45" t="s">
        <v>452</v>
      </c>
    </row>
    <row r="28" spans="1:12">
      <c r="A28" s="78"/>
      <c r="B28" s="79"/>
      <c r="C28" s="45" t="s">
        <v>453</v>
      </c>
      <c r="D28" s="45" t="s">
        <v>364</v>
      </c>
      <c r="E28" s="45" t="s">
        <v>375</v>
      </c>
      <c r="F28" s="75" t="s">
        <v>376</v>
      </c>
      <c r="G28" s="45" t="s">
        <v>454</v>
      </c>
      <c r="H28" s="45" t="s">
        <v>148</v>
      </c>
      <c r="I28" s="45" t="s">
        <v>449</v>
      </c>
      <c r="J28" s="77" t="s">
        <v>450</v>
      </c>
      <c r="K28" s="77" t="s">
        <v>451</v>
      </c>
      <c r="L28" s="45" t="s">
        <v>452</v>
      </c>
    </row>
    <row r="29" spans="1:12">
      <c r="A29" s="73" t="s">
        <v>361</v>
      </c>
      <c r="B29" s="74" t="s">
        <v>455</v>
      </c>
      <c r="C29" s="75" t="s">
        <v>456</v>
      </c>
      <c r="D29" s="75" t="s">
        <v>364</v>
      </c>
      <c r="E29" s="75" t="s">
        <v>365</v>
      </c>
      <c r="F29" s="75" t="s">
        <v>366</v>
      </c>
      <c r="G29" s="75" t="s">
        <v>457</v>
      </c>
      <c r="H29" s="75" t="s">
        <v>365</v>
      </c>
      <c r="I29" s="75" t="s">
        <v>369</v>
      </c>
      <c r="J29" s="76" t="s">
        <v>28</v>
      </c>
      <c r="K29" s="76" t="s">
        <v>370</v>
      </c>
      <c r="L29" s="75" t="s">
        <v>371</v>
      </c>
    </row>
    <row r="30" spans="1:12">
      <c r="A30" s="73"/>
      <c r="B30" s="74"/>
      <c r="C30" s="75" t="s">
        <v>458</v>
      </c>
      <c r="D30" s="75" t="s">
        <v>364</v>
      </c>
      <c r="E30" s="75" t="s">
        <v>365</v>
      </c>
      <c r="F30" s="75" t="s">
        <v>366</v>
      </c>
      <c r="G30" s="75" t="s">
        <v>459</v>
      </c>
      <c r="H30" s="75" t="s">
        <v>365</v>
      </c>
      <c r="I30" s="75" t="s">
        <v>369</v>
      </c>
      <c r="J30" s="76" t="s">
        <v>28</v>
      </c>
      <c r="K30" s="76" t="s">
        <v>370</v>
      </c>
      <c r="L30" s="75" t="s">
        <v>371</v>
      </c>
    </row>
    <row r="31" spans="1:12">
      <c r="A31" s="73"/>
      <c r="B31" s="74"/>
      <c r="C31" s="45" t="s">
        <v>460</v>
      </c>
      <c r="D31" s="45" t="s">
        <v>364</v>
      </c>
      <c r="E31" s="45" t="s">
        <v>375</v>
      </c>
      <c r="F31" s="45" t="s">
        <v>376</v>
      </c>
      <c r="G31" s="45" t="s">
        <v>461</v>
      </c>
      <c r="H31" s="45" t="s">
        <v>391</v>
      </c>
      <c r="I31" s="45" t="s">
        <v>462</v>
      </c>
      <c r="J31" s="77" t="s">
        <v>28</v>
      </c>
      <c r="K31" s="77" t="s">
        <v>370</v>
      </c>
      <c r="L31" s="45" t="s">
        <v>463</v>
      </c>
    </row>
    <row r="32" spans="1:12">
      <c r="A32" s="73"/>
      <c r="B32" s="74"/>
      <c r="C32" s="45" t="s">
        <v>464</v>
      </c>
      <c r="D32" s="75" t="s">
        <v>364</v>
      </c>
      <c r="E32" s="75" t="s">
        <v>375</v>
      </c>
      <c r="F32" s="75" t="s">
        <v>376</v>
      </c>
      <c r="G32" s="75" t="s">
        <v>465</v>
      </c>
      <c r="H32" s="75" t="s">
        <v>466</v>
      </c>
      <c r="I32" s="75" t="s">
        <v>467</v>
      </c>
      <c r="J32" s="76" t="s">
        <v>28</v>
      </c>
      <c r="K32" s="76" t="s">
        <v>370</v>
      </c>
      <c r="L32" s="75" t="s">
        <v>371</v>
      </c>
    </row>
    <row r="33" spans="1:12">
      <c r="A33" s="73"/>
      <c r="B33" s="74"/>
      <c r="C33" s="45" t="s">
        <v>468</v>
      </c>
      <c r="D33" s="75" t="s">
        <v>364</v>
      </c>
      <c r="E33" s="75" t="s">
        <v>375</v>
      </c>
      <c r="F33" s="75" t="s">
        <v>376</v>
      </c>
      <c r="G33" s="75" t="s">
        <v>469</v>
      </c>
      <c r="H33" s="75" t="s">
        <v>466</v>
      </c>
      <c r="I33" s="75" t="s">
        <v>467</v>
      </c>
      <c r="J33" s="76" t="s">
        <v>28</v>
      </c>
      <c r="K33" s="76" t="s">
        <v>370</v>
      </c>
      <c r="L33" s="75" t="s">
        <v>371</v>
      </c>
    </row>
    <row r="34" spans="1:12">
      <c r="A34" s="73"/>
      <c r="B34" s="74"/>
      <c r="C34" s="45" t="s">
        <v>470</v>
      </c>
      <c r="D34" s="75" t="s">
        <v>364</v>
      </c>
      <c r="E34" s="75" t="s">
        <v>375</v>
      </c>
      <c r="F34" s="75" t="s">
        <v>376</v>
      </c>
      <c r="G34" s="75" t="s">
        <v>471</v>
      </c>
      <c r="H34" s="75" t="s">
        <v>466</v>
      </c>
      <c r="I34" s="75" t="s">
        <v>467</v>
      </c>
      <c r="J34" s="76" t="s">
        <v>28</v>
      </c>
      <c r="K34" s="76" t="s">
        <v>370</v>
      </c>
      <c r="L34" s="75" t="s">
        <v>371</v>
      </c>
    </row>
    <row r="35" spans="1:12" ht="30">
      <c r="A35" s="73"/>
      <c r="B35" s="74"/>
      <c r="C35" s="45" t="s">
        <v>472</v>
      </c>
      <c r="D35" s="45" t="s">
        <v>364</v>
      </c>
      <c r="E35" s="45" t="s">
        <v>375</v>
      </c>
      <c r="F35" s="45" t="s">
        <v>376</v>
      </c>
      <c r="G35" s="77" t="s">
        <v>473</v>
      </c>
      <c r="H35" s="45" t="s">
        <v>391</v>
      </c>
      <c r="I35" s="45" t="s">
        <v>449</v>
      </c>
      <c r="J35" s="77" t="s">
        <v>450</v>
      </c>
      <c r="K35" s="77" t="s">
        <v>451</v>
      </c>
      <c r="L35" s="45" t="s">
        <v>452</v>
      </c>
    </row>
    <row r="36" spans="1:12" ht="30">
      <c r="A36" s="78"/>
      <c r="B36" s="79"/>
      <c r="C36" s="45" t="s">
        <v>474</v>
      </c>
      <c r="D36" s="45" t="s">
        <v>364</v>
      </c>
      <c r="E36" s="45" t="s">
        <v>375</v>
      </c>
      <c r="F36" s="45" t="s">
        <v>376</v>
      </c>
      <c r="G36" s="77" t="s">
        <v>475</v>
      </c>
      <c r="H36" s="45" t="s">
        <v>148</v>
      </c>
      <c r="I36" s="45" t="s">
        <v>449</v>
      </c>
      <c r="J36" s="77" t="s">
        <v>450</v>
      </c>
      <c r="K36" s="77" t="s">
        <v>451</v>
      </c>
      <c r="L36" s="45" t="s">
        <v>452</v>
      </c>
    </row>
    <row r="37" spans="1:12">
      <c r="A37" s="74" t="s">
        <v>476</v>
      </c>
      <c r="B37" s="74" t="s">
        <v>477</v>
      </c>
      <c r="C37" s="75" t="s">
        <v>478</v>
      </c>
      <c r="D37" s="75" t="s">
        <v>364</v>
      </c>
      <c r="E37" s="75" t="s">
        <v>479</v>
      </c>
      <c r="F37" s="75" t="s">
        <v>366</v>
      </c>
      <c r="G37" s="75" t="s">
        <v>480</v>
      </c>
      <c r="H37" s="75" t="s">
        <v>368</v>
      </c>
      <c r="I37" s="75" t="s">
        <v>369</v>
      </c>
      <c r="J37" s="76" t="s">
        <v>28</v>
      </c>
      <c r="K37" s="76" t="s">
        <v>370</v>
      </c>
      <c r="L37" s="80" t="s">
        <v>371</v>
      </c>
    </row>
    <row r="38" spans="1:12">
      <c r="A38" s="74"/>
      <c r="B38" s="74"/>
      <c r="C38" s="45" t="s">
        <v>481</v>
      </c>
      <c r="D38" s="75" t="s">
        <v>364</v>
      </c>
      <c r="E38" s="75" t="s">
        <v>479</v>
      </c>
      <c r="F38" s="75" t="s">
        <v>366</v>
      </c>
      <c r="G38" s="75" t="s">
        <v>482</v>
      </c>
      <c r="H38" s="75" t="s">
        <v>368</v>
      </c>
      <c r="I38" s="75" t="s">
        <v>369</v>
      </c>
      <c r="J38" s="76" t="s">
        <v>28</v>
      </c>
      <c r="K38" s="76" t="s">
        <v>370</v>
      </c>
      <c r="L38" s="80" t="s">
        <v>371</v>
      </c>
    </row>
    <row r="39" spans="1:12" ht="30">
      <c r="A39" s="74"/>
      <c r="B39" s="74"/>
      <c r="C39" s="45" t="s">
        <v>483</v>
      </c>
      <c r="D39" s="75" t="s">
        <v>364</v>
      </c>
      <c r="E39" s="75" t="s">
        <v>484</v>
      </c>
      <c r="F39" s="75" t="s">
        <v>485</v>
      </c>
      <c r="G39" s="75" t="s">
        <v>390</v>
      </c>
      <c r="H39" s="75" t="s">
        <v>391</v>
      </c>
      <c r="I39" s="75" t="s">
        <v>392</v>
      </c>
      <c r="J39" s="76" t="s">
        <v>393</v>
      </c>
      <c r="K39" s="76" t="s">
        <v>394</v>
      </c>
      <c r="L39" s="80" t="s">
        <v>371</v>
      </c>
    </row>
    <row r="40" spans="1:12">
      <c r="A40" s="74"/>
      <c r="B40" s="74"/>
      <c r="C40" s="45" t="s">
        <v>486</v>
      </c>
      <c r="D40" s="75" t="s">
        <v>364</v>
      </c>
      <c r="E40" s="75" t="s">
        <v>484</v>
      </c>
      <c r="F40" s="75" t="s">
        <v>485</v>
      </c>
      <c r="G40" s="75" t="s">
        <v>487</v>
      </c>
      <c r="H40" s="75" t="s">
        <v>391</v>
      </c>
      <c r="I40" s="75" t="s">
        <v>488</v>
      </c>
      <c r="J40" s="76" t="s">
        <v>489</v>
      </c>
      <c r="K40" s="76" t="s">
        <v>490</v>
      </c>
      <c r="L40" s="80" t="s">
        <v>371</v>
      </c>
    </row>
    <row r="41" spans="1:12">
      <c r="A41" s="74"/>
      <c r="B41" s="74"/>
      <c r="C41" s="45" t="s">
        <v>491</v>
      </c>
      <c r="D41" s="75" t="s">
        <v>364</v>
      </c>
      <c r="E41" s="75" t="s">
        <v>484</v>
      </c>
      <c r="F41" s="75" t="s">
        <v>485</v>
      </c>
      <c r="G41" s="75" t="s">
        <v>396</v>
      </c>
      <c r="H41" s="75" t="s">
        <v>391</v>
      </c>
      <c r="I41" s="75" t="s">
        <v>386</v>
      </c>
      <c r="J41" s="76" t="s">
        <v>387</v>
      </c>
      <c r="K41" s="76" t="s">
        <v>388</v>
      </c>
      <c r="L41" s="80" t="s">
        <v>371</v>
      </c>
    </row>
    <row r="42" spans="1:12" ht="30">
      <c r="A42" s="74"/>
      <c r="B42" s="74"/>
      <c r="C42" s="45" t="s">
        <v>492</v>
      </c>
      <c r="D42" s="75" t="s">
        <v>364</v>
      </c>
      <c r="E42" s="75" t="s">
        <v>484</v>
      </c>
      <c r="F42" s="75" t="s">
        <v>485</v>
      </c>
      <c r="G42" s="75" t="s">
        <v>398</v>
      </c>
      <c r="H42" s="75" t="s">
        <v>391</v>
      </c>
      <c r="I42" s="75" t="s">
        <v>399</v>
      </c>
      <c r="J42" s="76" t="s">
        <v>400</v>
      </c>
      <c r="K42" s="76" t="s">
        <v>401</v>
      </c>
      <c r="L42" s="80" t="s">
        <v>371</v>
      </c>
    </row>
    <row r="43" spans="1:12">
      <c r="A43" s="74"/>
      <c r="B43" s="74"/>
      <c r="C43" s="45" t="s">
        <v>493</v>
      </c>
      <c r="D43" s="75" t="s">
        <v>364</v>
      </c>
      <c r="E43" s="75" t="s">
        <v>484</v>
      </c>
      <c r="F43" s="75" t="s">
        <v>485</v>
      </c>
      <c r="G43" s="75" t="s">
        <v>405</v>
      </c>
      <c r="H43" s="75" t="s">
        <v>391</v>
      </c>
      <c r="I43" s="75" t="s">
        <v>406</v>
      </c>
      <c r="J43" s="76" t="s">
        <v>380</v>
      </c>
      <c r="K43" s="76" t="s">
        <v>407</v>
      </c>
      <c r="L43" s="80" t="s">
        <v>371</v>
      </c>
    </row>
    <row r="44" spans="1:12">
      <c r="A44" s="74"/>
      <c r="B44" s="74"/>
      <c r="C44" s="45" t="s">
        <v>494</v>
      </c>
      <c r="D44" s="75" t="s">
        <v>364</v>
      </c>
      <c r="E44" s="75" t="s">
        <v>484</v>
      </c>
      <c r="F44" s="75" t="s">
        <v>485</v>
      </c>
      <c r="G44" s="75" t="s">
        <v>495</v>
      </c>
      <c r="H44" s="75" t="s">
        <v>391</v>
      </c>
      <c r="I44" s="75" t="s">
        <v>449</v>
      </c>
      <c r="J44" s="76" t="s">
        <v>450</v>
      </c>
      <c r="K44" s="76" t="s">
        <v>451</v>
      </c>
      <c r="L44" s="80" t="s">
        <v>371</v>
      </c>
    </row>
    <row r="45" spans="1:12">
      <c r="A45" s="74"/>
      <c r="B45" s="74"/>
      <c r="C45" s="75" t="s">
        <v>496</v>
      </c>
      <c r="D45" s="75" t="s">
        <v>364</v>
      </c>
      <c r="E45" s="75" t="s">
        <v>484</v>
      </c>
      <c r="F45" s="75" t="s">
        <v>485</v>
      </c>
      <c r="G45" s="75" t="s">
        <v>414</v>
      </c>
      <c r="H45" s="75" t="s">
        <v>391</v>
      </c>
      <c r="I45" s="75" t="s">
        <v>415</v>
      </c>
      <c r="J45" s="76" t="s">
        <v>416</v>
      </c>
      <c r="K45" s="76" t="s">
        <v>417</v>
      </c>
      <c r="L45" s="80" t="s">
        <v>371</v>
      </c>
    </row>
    <row r="46" spans="1:12">
      <c r="A46" s="74"/>
      <c r="B46" s="74"/>
      <c r="C46" s="75" t="s">
        <v>497</v>
      </c>
      <c r="D46" s="75" t="s">
        <v>364</v>
      </c>
      <c r="E46" s="75" t="s">
        <v>484</v>
      </c>
      <c r="F46" s="75" t="s">
        <v>485</v>
      </c>
      <c r="G46" s="75" t="s">
        <v>419</v>
      </c>
      <c r="H46" s="75" t="s">
        <v>391</v>
      </c>
      <c r="I46" s="75" t="s">
        <v>420</v>
      </c>
      <c r="J46" s="76" t="s">
        <v>416</v>
      </c>
      <c r="K46" s="76" t="s">
        <v>417</v>
      </c>
      <c r="L46" s="80" t="s">
        <v>371</v>
      </c>
    </row>
    <row r="47" spans="1:12" ht="45">
      <c r="A47" s="74"/>
      <c r="B47" s="74"/>
      <c r="C47" s="45" t="s">
        <v>498</v>
      </c>
      <c r="D47" s="45" t="s">
        <v>364</v>
      </c>
      <c r="E47" s="45" t="s">
        <v>484</v>
      </c>
      <c r="F47" s="45" t="s">
        <v>499</v>
      </c>
      <c r="G47" s="77" t="s">
        <v>500</v>
      </c>
      <c r="H47" s="45" t="s">
        <v>391</v>
      </c>
      <c r="I47" s="45" t="s">
        <v>462</v>
      </c>
      <c r="J47" s="77" t="s">
        <v>28</v>
      </c>
      <c r="K47" s="77" t="s">
        <v>370</v>
      </c>
      <c r="L47" s="45" t="s">
        <v>463</v>
      </c>
    </row>
    <row r="48" spans="1:12" ht="45">
      <c r="A48" s="79"/>
      <c r="B48" s="79"/>
      <c r="C48" s="81" t="s">
        <v>501</v>
      </c>
      <c r="D48" s="81" t="s">
        <v>364</v>
      </c>
      <c r="E48" s="81" t="s">
        <v>484</v>
      </c>
      <c r="F48" s="81" t="s">
        <v>485</v>
      </c>
      <c r="G48" s="82" t="s">
        <v>502</v>
      </c>
      <c r="H48" s="81" t="s">
        <v>148</v>
      </c>
      <c r="I48" s="81" t="s">
        <v>503</v>
      </c>
      <c r="J48" s="82" t="s">
        <v>411</v>
      </c>
      <c r="K48" s="76" t="s">
        <v>504</v>
      </c>
      <c r="L48" s="80" t="s">
        <v>371</v>
      </c>
    </row>
    <row r="49" spans="1:12" ht="16">
      <c r="A49" s="83" t="s">
        <v>505</v>
      </c>
      <c r="B49" s="83" t="s">
        <v>506</v>
      </c>
      <c r="C49" s="84" t="s">
        <v>507</v>
      </c>
      <c r="D49" s="85" t="s">
        <v>364</v>
      </c>
      <c r="E49" s="85" t="s">
        <v>508</v>
      </c>
      <c r="F49" s="85" t="s">
        <v>509</v>
      </c>
      <c r="G49" s="84" t="s">
        <v>510</v>
      </c>
      <c r="H49" s="85" t="s">
        <v>508</v>
      </c>
      <c r="I49" s="85" t="s">
        <v>369</v>
      </c>
      <c r="J49" s="86" t="s">
        <v>28</v>
      </c>
      <c r="K49" s="76" t="s">
        <v>370</v>
      </c>
      <c r="L49" s="75" t="s">
        <v>371</v>
      </c>
    </row>
    <row r="50" spans="1:12" ht="16">
      <c r="A50" s="87"/>
      <c r="B50" s="88"/>
      <c r="C50" s="89" t="s">
        <v>511</v>
      </c>
      <c r="D50" s="90" t="s">
        <v>364</v>
      </c>
      <c r="E50" s="90" t="s">
        <v>508</v>
      </c>
      <c r="F50" s="90" t="s">
        <v>509</v>
      </c>
      <c r="G50" s="89" t="s">
        <v>512</v>
      </c>
      <c r="H50" s="90" t="s">
        <v>508</v>
      </c>
      <c r="I50" s="90" t="s">
        <v>369</v>
      </c>
      <c r="J50" s="91" t="s">
        <v>28</v>
      </c>
      <c r="K50" s="76" t="s">
        <v>370</v>
      </c>
      <c r="L50" s="75" t="s">
        <v>371</v>
      </c>
    </row>
    <row r="51" spans="1:12" ht="16">
      <c r="A51" s="87"/>
      <c r="B51" s="87" t="s">
        <v>513</v>
      </c>
      <c r="C51" s="89" t="s">
        <v>514</v>
      </c>
      <c r="D51" s="90" t="s">
        <v>364</v>
      </c>
      <c r="E51" s="90" t="s">
        <v>508</v>
      </c>
      <c r="F51" s="90" t="s">
        <v>509</v>
      </c>
      <c r="G51" s="89" t="s">
        <v>515</v>
      </c>
      <c r="H51" s="90" t="s">
        <v>508</v>
      </c>
      <c r="I51" s="90" t="s">
        <v>369</v>
      </c>
      <c r="J51" s="91" t="s">
        <v>28</v>
      </c>
      <c r="K51" s="76" t="s">
        <v>370</v>
      </c>
      <c r="L51" s="75" t="s">
        <v>371</v>
      </c>
    </row>
    <row r="52" spans="1:12" ht="16">
      <c r="A52" s="87"/>
      <c r="B52" s="88"/>
      <c r="C52" s="89" t="s">
        <v>516</v>
      </c>
      <c r="D52" s="90" t="s">
        <v>364</v>
      </c>
      <c r="E52" s="90" t="s">
        <v>508</v>
      </c>
      <c r="F52" s="90" t="s">
        <v>509</v>
      </c>
      <c r="G52" s="89" t="s">
        <v>517</v>
      </c>
      <c r="H52" s="90" t="s">
        <v>508</v>
      </c>
      <c r="I52" s="90" t="s">
        <v>369</v>
      </c>
      <c r="J52" s="91" t="s">
        <v>28</v>
      </c>
      <c r="K52" s="76" t="s">
        <v>370</v>
      </c>
      <c r="L52" s="75" t="s">
        <v>371</v>
      </c>
    </row>
    <row r="53" spans="1:12" ht="16">
      <c r="A53" s="87"/>
      <c r="B53" s="87" t="s">
        <v>518</v>
      </c>
      <c r="C53" s="89" t="s">
        <v>519</v>
      </c>
      <c r="D53" s="90" t="s">
        <v>364</v>
      </c>
      <c r="E53" s="90" t="s">
        <v>508</v>
      </c>
      <c r="F53" s="90" t="s">
        <v>509</v>
      </c>
      <c r="G53" s="89" t="s">
        <v>520</v>
      </c>
      <c r="H53" s="90" t="s">
        <v>508</v>
      </c>
      <c r="I53" s="90" t="s">
        <v>369</v>
      </c>
      <c r="J53" s="91" t="s">
        <v>28</v>
      </c>
      <c r="K53" s="76" t="s">
        <v>370</v>
      </c>
      <c r="L53" s="75" t="s">
        <v>371</v>
      </c>
    </row>
    <row r="54" spans="1:12" ht="16">
      <c r="A54" s="88"/>
      <c r="B54" s="88"/>
      <c r="C54" s="89" t="s">
        <v>521</v>
      </c>
      <c r="D54" s="90" t="s">
        <v>364</v>
      </c>
      <c r="E54" s="90" t="s">
        <v>508</v>
      </c>
      <c r="F54" s="90" t="s">
        <v>509</v>
      </c>
      <c r="G54" s="89" t="s">
        <v>522</v>
      </c>
      <c r="H54" s="90" t="s">
        <v>508</v>
      </c>
      <c r="I54" s="90" t="s">
        <v>369</v>
      </c>
      <c r="J54" s="91" t="s">
        <v>28</v>
      </c>
      <c r="K54" s="76" t="s">
        <v>370</v>
      </c>
      <c r="L54" s="75" t="s">
        <v>371</v>
      </c>
    </row>
    <row r="55" spans="1:12" ht="32">
      <c r="A55" s="87" t="s">
        <v>523</v>
      </c>
      <c r="B55" s="92" t="s">
        <v>371</v>
      </c>
      <c r="C55" s="89" t="s">
        <v>524</v>
      </c>
      <c r="D55" s="90" t="s">
        <v>364</v>
      </c>
      <c r="E55" s="90" t="s">
        <v>525</v>
      </c>
      <c r="F55" s="90" t="s">
        <v>366</v>
      </c>
      <c r="G55" s="89" t="s">
        <v>526</v>
      </c>
      <c r="H55" s="90" t="s">
        <v>508</v>
      </c>
      <c r="I55" s="90" t="s">
        <v>369</v>
      </c>
      <c r="J55" s="91" t="s">
        <v>28</v>
      </c>
      <c r="K55" s="76" t="s">
        <v>370</v>
      </c>
      <c r="L55" s="75" t="s">
        <v>371</v>
      </c>
    </row>
    <row r="56" spans="1:12" ht="32">
      <c r="A56" s="88"/>
      <c r="B56" s="93"/>
      <c r="C56" s="89" t="s">
        <v>527</v>
      </c>
      <c r="D56" s="90" t="s">
        <v>364</v>
      </c>
      <c r="E56" s="90" t="s">
        <v>525</v>
      </c>
      <c r="F56" s="90" t="s">
        <v>366</v>
      </c>
      <c r="G56" s="89" t="s">
        <v>528</v>
      </c>
      <c r="H56" s="90" t="s">
        <v>508</v>
      </c>
      <c r="I56" s="90" t="s">
        <v>369</v>
      </c>
      <c r="J56" s="91" t="s">
        <v>28</v>
      </c>
      <c r="K56" s="76" t="s">
        <v>370</v>
      </c>
      <c r="L56" s="75" t="s">
        <v>371</v>
      </c>
    </row>
    <row r="57" spans="1:12">
      <c r="A57" s="50"/>
      <c r="B57" s="50"/>
      <c r="C57" s="50"/>
      <c r="D57" s="50"/>
      <c r="E57" s="50"/>
      <c r="F57" s="50"/>
      <c r="G57" s="50"/>
      <c r="H57" s="50"/>
      <c r="I57" s="50"/>
      <c r="J57" s="56"/>
      <c r="K57" s="56"/>
      <c r="L57" s="50"/>
    </row>
    <row r="58" spans="1:12">
      <c r="A58" s="51" t="s">
        <v>371</v>
      </c>
      <c r="B58" s="52" t="s">
        <v>371</v>
      </c>
      <c r="C58" s="67" t="s">
        <v>529</v>
      </c>
      <c r="D58" s="67"/>
      <c r="E58" s="67"/>
      <c r="F58" s="68"/>
      <c r="G58" s="52" t="s">
        <v>371</v>
      </c>
      <c r="H58" s="52" t="s">
        <v>371</v>
      </c>
      <c r="I58" s="52" t="s">
        <v>371</v>
      </c>
      <c r="J58" s="56"/>
      <c r="K58" s="56"/>
      <c r="L58" s="50"/>
    </row>
    <row r="59" spans="1:12">
      <c r="A59" s="53" t="s">
        <v>371</v>
      </c>
      <c r="B59" s="44" t="s">
        <v>371</v>
      </c>
      <c r="C59" s="54" t="s">
        <v>530</v>
      </c>
      <c r="D59" s="54" t="s">
        <v>531</v>
      </c>
      <c r="E59" s="54" t="s">
        <v>532</v>
      </c>
      <c r="F59" s="54" t="s">
        <v>533</v>
      </c>
      <c r="G59" s="44" t="s">
        <v>371</v>
      </c>
      <c r="H59" s="44" t="s">
        <v>371</v>
      </c>
      <c r="I59" s="44" t="s">
        <v>534</v>
      </c>
      <c r="J59" s="56"/>
      <c r="K59" s="56"/>
      <c r="L59" s="50"/>
    </row>
    <row r="60" spans="1:12" ht="15" customHeight="1">
      <c r="A60" s="65" t="s">
        <v>535</v>
      </c>
      <c r="B60" s="65" t="s">
        <v>455</v>
      </c>
      <c r="C60" s="47" t="s">
        <v>474</v>
      </c>
      <c r="D60" s="49" t="s">
        <v>475</v>
      </c>
      <c r="E60" s="47" t="s">
        <v>536</v>
      </c>
      <c r="F60" s="47" t="s">
        <v>537</v>
      </c>
      <c r="G60" s="65" t="s">
        <v>538</v>
      </c>
      <c r="H60" s="65" t="s">
        <v>539</v>
      </c>
      <c r="I60" s="65" t="s">
        <v>366</v>
      </c>
      <c r="J60" s="56"/>
      <c r="K60" s="56"/>
      <c r="L60" s="50"/>
    </row>
    <row r="61" spans="1:12" ht="30">
      <c r="A61" s="66"/>
      <c r="B61" s="66"/>
      <c r="C61" s="46" t="s">
        <v>472</v>
      </c>
      <c r="D61" s="48" t="s">
        <v>473</v>
      </c>
      <c r="E61" s="46" t="s">
        <v>536</v>
      </c>
      <c r="F61" s="46" t="s">
        <v>537</v>
      </c>
      <c r="G61" s="66"/>
      <c r="H61" s="66"/>
      <c r="I61" s="66"/>
      <c r="J61" s="56"/>
      <c r="K61" s="56"/>
      <c r="L61" s="50"/>
    </row>
    <row r="62" spans="1:12">
      <c r="A62" s="65" t="s">
        <v>540</v>
      </c>
      <c r="B62" s="65" t="s">
        <v>362</v>
      </c>
      <c r="C62" s="47" t="s">
        <v>453</v>
      </c>
      <c r="D62" s="47" t="s">
        <v>454</v>
      </c>
      <c r="E62" s="47" t="s">
        <v>536</v>
      </c>
      <c r="F62" s="47" t="s">
        <v>537</v>
      </c>
      <c r="G62" s="65" t="s">
        <v>541</v>
      </c>
      <c r="H62" s="65" t="s">
        <v>542</v>
      </c>
      <c r="I62" s="65" t="s">
        <v>366</v>
      </c>
      <c r="J62" s="56"/>
      <c r="K62" s="56"/>
      <c r="L62" s="50"/>
    </row>
    <row r="63" spans="1:12">
      <c r="A63" s="66"/>
      <c r="B63" s="66"/>
      <c r="C63" s="46" t="s">
        <v>447</v>
      </c>
      <c r="D63" s="46" t="s">
        <v>448</v>
      </c>
      <c r="E63" s="46" t="s">
        <v>536</v>
      </c>
      <c r="F63" s="46" t="s">
        <v>537</v>
      </c>
      <c r="G63" s="66"/>
      <c r="H63" s="66"/>
      <c r="I63" s="66"/>
      <c r="J63" s="56"/>
      <c r="K63" s="56"/>
      <c r="L63" s="50"/>
    </row>
  </sheetData>
  <mergeCells count="23">
    <mergeCell ref="A62:A63"/>
    <mergeCell ref="B62:B63"/>
    <mergeCell ref="G62:G63"/>
    <mergeCell ref="H62:H63"/>
    <mergeCell ref="I62:I63"/>
    <mergeCell ref="I60:I61"/>
    <mergeCell ref="A49:A54"/>
    <mergeCell ref="B49:B50"/>
    <mergeCell ref="B51:B52"/>
    <mergeCell ref="B53:B54"/>
    <mergeCell ref="A55:A56"/>
    <mergeCell ref="B55:B56"/>
    <mergeCell ref="C58:F58"/>
    <mergeCell ref="A60:A61"/>
    <mergeCell ref="B60:B61"/>
    <mergeCell ref="G60:G61"/>
    <mergeCell ref="H60:H61"/>
    <mergeCell ref="A2:A28"/>
    <mergeCell ref="B2:B28"/>
    <mergeCell ref="A29:A36"/>
    <mergeCell ref="B29:B36"/>
    <mergeCell ref="A37:A48"/>
    <mergeCell ref="B37:B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E74E-A46E-434F-879B-A851A5108318}">
  <dimension ref="A1:T77"/>
  <sheetViews>
    <sheetView tabSelected="1" topLeftCell="A46" workbookViewId="0">
      <selection activeCell="K37" sqref="K37"/>
    </sheetView>
  </sheetViews>
  <sheetFormatPr baseColWidth="10" defaultColWidth="8.83203125" defaultRowHeight="15"/>
  <cols>
    <col min="1" max="1" width="25.1640625" bestFit="1" customWidth="1"/>
    <col min="2" max="2" width="12.5" bestFit="1" customWidth="1"/>
    <col min="3" max="3" width="20.1640625" bestFit="1" customWidth="1"/>
    <col min="4" max="4" width="23.33203125" bestFit="1" customWidth="1"/>
    <col min="5" max="5" width="17" bestFit="1" customWidth="1"/>
    <col min="6" max="6" width="13.5" bestFit="1" customWidth="1"/>
    <col min="7" max="7" width="31.33203125" bestFit="1" customWidth="1"/>
    <col min="8" max="8" width="25" bestFit="1" customWidth="1"/>
    <col min="11" max="12" width="16.6640625" bestFit="1" customWidth="1"/>
    <col min="13" max="13" width="13.6640625" bestFit="1" customWidth="1"/>
    <col min="14" max="14" width="15.33203125" bestFit="1" customWidth="1"/>
    <col min="15" max="15" width="15.83203125" bestFit="1" customWidth="1"/>
    <col min="18" max="18" width="17.1640625" bestFit="1" customWidth="1"/>
  </cols>
  <sheetData>
    <row r="1" spans="1:19">
      <c r="A1" s="7" t="s">
        <v>543</v>
      </c>
    </row>
    <row r="2" spans="1:19">
      <c r="A2" s="1" t="s">
        <v>0</v>
      </c>
      <c r="B2" s="1" t="s">
        <v>1</v>
      </c>
      <c r="C2" s="1" t="s">
        <v>2</v>
      </c>
      <c r="D2" s="8" t="s">
        <v>357</v>
      </c>
      <c r="E2" s="1" t="s">
        <v>6</v>
      </c>
      <c r="F2" s="1" t="s">
        <v>7</v>
      </c>
    </row>
    <row r="3" spans="1:19" ht="16">
      <c r="A3" s="9" t="s">
        <v>544</v>
      </c>
      <c r="B3" s="10" t="s">
        <v>545</v>
      </c>
      <c r="D3" t="s">
        <v>308</v>
      </c>
      <c r="E3" t="s">
        <v>308</v>
      </c>
      <c r="F3" t="s">
        <v>57</v>
      </c>
      <c r="G3" t="s">
        <v>546</v>
      </c>
    </row>
    <row r="4" spans="1:19" ht="16">
      <c r="A4" s="11" t="s">
        <v>547</v>
      </c>
      <c r="D4" t="s">
        <v>308</v>
      </c>
      <c r="E4" t="s">
        <v>308</v>
      </c>
      <c r="F4" t="s">
        <v>57</v>
      </c>
    </row>
    <row r="5" spans="1:19" ht="16">
      <c r="A5" s="11" t="s">
        <v>548</v>
      </c>
      <c r="B5" t="s">
        <v>549</v>
      </c>
      <c r="D5" t="s">
        <v>308</v>
      </c>
      <c r="E5" t="s">
        <v>308</v>
      </c>
      <c r="F5" t="s">
        <v>57</v>
      </c>
      <c r="G5" t="s">
        <v>550</v>
      </c>
    </row>
    <row r="6" spans="1:19">
      <c r="A6" s="94" t="s">
        <v>551</v>
      </c>
      <c r="B6" s="94" t="s">
        <v>552</v>
      </c>
      <c r="C6" s="94"/>
      <c r="D6" s="94" t="s">
        <v>308</v>
      </c>
      <c r="E6" s="94" t="s">
        <v>308</v>
      </c>
      <c r="F6" s="94" t="s">
        <v>57</v>
      </c>
    </row>
    <row r="7" spans="1:19">
      <c r="A7" s="94" t="s">
        <v>553</v>
      </c>
      <c r="B7" s="94" t="s">
        <v>554</v>
      </c>
      <c r="C7" s="94"/>
      <c r="D7" s="94" t="s">
        <v>308</v>
      </c>
      <c r="E7" s="94" t="s">
        <v>308</v>
      </c>
      <c r="F7" s="94" t="s">
        <v>57</v>
      </c>
    </row>
    <row r="8" spans="1:19">
      <c r="A8" s="94" t="s">
        <v>555</v>
      </c>
      <c r="B8" s="94" t="s">
        <v>556</v>
      </c>
      <c r="C8" s="94"/>
      <c r="D8" s="94" t="s">
        <v>308</v>
      </c>
      <c r="E8" s="94" t="s">
        <v>308</v>
      </c>
      <c r="F8" s="94" t="s">
        <v>57</v>
      </c>
    </row>
    <row r="9" spans="1:19">
      <c r="A9" s="94" t="s">
        <v>557</v>
      </c>
      <c r="B9" s="94" t="s">
        <v>558</v>
      </c>
      <c r="C9" s="94"/>
      <c r="D9" s="94" t="s">
        <v>308</v>
      </c>
      <c r="E9" s="94" t="s">
        <v>308</v>
      </c>
      <c r="F9" s="94" t="s">
        <v>57</v>
      </c>
    </row>
    <row r="12" spans="1:19">
      <c r="A12" s="58" t="s">
        <v>559</v>
      </c>
    </row>
    <row r="14" spans="1:19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9</v>
      </c>
      <c r="J14" s="1" t="s">
        <v>10</v>
      </c>
      <c r="K14" s="1" t="s">
        <v>11</v>
      </c>
      <c r="L14" s="1" t="s">
        <v>12</v>
      </c>
      <c r="M14" s="1" t="s">
        <v>13</v>
      </c>
      <c r="N14" s="1" t="s">
        <v>14</v>
      </c>
      <c r="O14" s="1" t="s">
        <v>15</v>
      </c>
      <c r="P14" s="1" t="s">
        <v>16</v>
      </c>
      <c r="Q14" s="1" t="s">
        <v>17</v>
      </c>
      <c r="R14" s="8" t="s">
        <v>560</v>
      </c>
      <c r="S14" s="8" t="s">
        <v>561</v>
      </c>
    </row>
    <row r="15" spans="1:19">
      <c r="A15" s="116" t="s">
        <v>562</v>
      </c>
      <c r="B15" s="116" t="s">
        <v>563</v>
      </c>
      <c r="C15" s="116" t="s">
        <v>20</v>
      </c>
      <c r="D15" s="116" t="s">
        <v>564</v>
      </c>
      <c r="E15" s="116"/>
      <c r="F15" s="116">
        <v>11.3</v>
      </c>
      <c r="G15" s="116" t="s">
        <v>565</v>
      </c>
      <c r="H15" s="116" t="s">
        <v>566</v>
      </c>
      <c r="I15" s="2" t="s">
        <v>25</v>
      </c>
      <c r="J15" s="2" t="s">
        <v>567</v>
      </c>
      <c r="K15" s="2" t="s">
        <v>27</v>
      </c>
      <c r="L15" s="3">
        <v>43460.292581018519</v>
      </c>
      <c r="M15" s="3">
        <v>44378.30709490741</v>
      </c>
      <c r="N15" s="2" t="s">
        <v>568</v>
      </c>
      <c r="O15" s="2" t="s">
        <v>29</v>
      </c>
      <c r="P15" s="2" t="s">
        <v>30</v>
      </c>
      <c r="Q15" s="2" t="s">
        <v>31</v>
      </c>
      <c r="R15" s="12">
        <v>44998.916666666664</v>
      </c>
      <c r="S15" t="s">
        <v>569</v>
      </c>
    </row>
    <row r="16" spans="1:19">
      <c r="A16" s="116" t="s">
        <v>570</v>
      </c>
      <c r="B16" s="116" t="s">
        <v>571</v>
      </c>
      <c r="C16" s="116" t="s">
        <v>20</v>
      </c>
      <c r="D16" s="116" t="s">
        <v>564</v>
      </c>
      <c r="E16" s="116"/>
      <c r="F16" s="116">
        <v>11.3</v>
      </c>
      <c r="G16" s="116" t="s">
        <v>565</v>
      </c>
      <c r="H16" s="116" t="s">
        <v>572</v>
      </c>
      <c r="I16" s="2" t="s">
        <v>25</v>
      </c>
      <c r="J16" s="2" t="s">
        <v>567</v>
      </c>
      <c r="K16" s="2" t="s">
        <v>27</v>
      </c>
      <c r="L16" s="3">
        <v>43460.292673611111</v>
      </c>
      <c r="M16" s="3">
        <v>44378.30709490741</v>
      </c>
      <c r="N16" s="2" t="s">
        <v>568</v>
      </c>
      <c r="O16" s="2" t="s">
        <v>29</v>
      </c>
      <c r="P16" s="2" t="s">
        <v>30</v>
      </c>
      <c r="Q16" s="2" t="s">
        <v>31</v>
      </c>
      <c r="R16" s="12">
        <v>44998.916666666664</v>
      </c>
      <c r="S16" t="s">
        <v>569</v>
      </c>
    </row>
    <row r="17" spans="1:19">
      <c r="A17" s="116" t="s">
        <v>573</v>
      </c>
      <c r="B17" s="116" t="s">
        <v>574</v>
      </c>
      <c r="C17" s="116" t="s">
        <v>20</v>
      </c>
      <c r="D17" s="116" t="s">
        <v>564</v>
      </c>
      <c r="E17" s="116"/>
      <c r="F17" s="116">
        <v>11.3</v>
      </c>
      <c r="G17" s="116" t="s">
        <v>565</v>
      </c>
      <c r="H17" s="116" t="s">
        <v>572</v>
      </c>
      <c r="I17" s="2" t="s">
        <v>25</v>
      </c>
      <c r="J17" s="2" t="s">
        <v>567</v>
      </c>
      <c r="K17" s="2" t="s">
        <v>27</v>
      </c>
      <c r="L17" s="3">
        <v>43460.293067129627</v>
      </c>
      <c r="M17" s="3">
        <v>44378.30709490741</v>
      </c>
      <c r="N17" s="2" t="s">
        <v>568</v>
      </c>
      <c r="O17" s="2" t="s">
        <v>29</v>
      </c>
      <c r="P17" s="2" t="s">
        <v>30</v>
      </c>
      <c r="Q17" s="2" t="s">
        <v>31</v>
      </c>
      <c r="R17" s="12">
        <v>44998.916666666664</v>
      </c>
      <c r="S17" t="s">
        <v>569</v>
      </c>
    </row>
    <row r="18" spans="1:19">
      <c r="A18" s="116" t="s">
        <v>575</v>
      </c>
      <c r="B18" s="116" t="s">
        <v>576</v>
      </c>
      <c r="C18" s="116" t="s">
        <v>20</v>
      </c>
      <c r="D18" s="116" t="s">
        <v>564</v>
      </c>
      <c r="E18" s="116"/>
      <c r="F18" s="116">
        <v>11.3</v>
      </c>
      <c r="G18" s="116" t="s">
        <v>565</v>
      </c>
      <c r="H18" s="116" t="s">
        <v>572</v>
      </c>
      <c r="I18" s="2" t="s">
        <v>25</v>
      </c>
      <c r="J18" s="2" t="s">
        <v>567</v>
      </c>
      <c r="K18" s="2" t="s">
        <v>27</v>
      </c>
      <c r="L18" s="3">
        <v>43460.29314814815</v>
      </c>
      <c r="M18" s="3">
        <v>44378.30709490741</v>
      </c>
      <c r="N18" s="2" t="s">
        <v>568</v>
      </c>
      <c r="O18" s="2" t="s">
        <v>29</v>
      </c>
      <c r="P18" s="2" t="s">
        <v>30</v>
      </c>
      <c r="Q18" s="2" t="s">
        <v>31</v>
      </c>
      <c r="R18" s="12">
        <v>44998.916666666664</v>
      </c>
      <c r="S18" t="s">
        <v>569</v>
      </c>
    </row>
    <row r="19" spans="1:19">
      <c r="A19" s="116" t="s">
        <v>577</v>
      </c>
      <c r="B19" s="116" t="s">
        <v>578</v>
      </c>
      <c r="C19" s="116" t="s">
        <v>20</v>
      </c>
      <c r="D19" s="116" t="s">
        <v>564</v>
      </c>
      <c r="E19" s="116"/>
      <c r="F19" s="116">
        <v>11.3</v>
      </c>
      <c r="G19" s="116" t="s">
        <v>579</v>
      </c>
      <c r="H19" s="116" t="s">
        <v>568</v>
      </c>
      <c r="I19" s="2" t="s">
        <v>25</v>
      </c>
      <c r="J19" s="2" t="s">
        <v>26</v>
      </c>
      <c r="K19" s="2" t="s">
        <v>27</v>
      </c>
      <c r="L19" s="3">
        <v>41314.752789351849</v>
      </c>
      <c r="M19" s="3">
        <v>44434.401250000003</v>
      </c>
      <c r="N19" s="2" t="s">
        <v>568</v>
      </c>
      <c r="O19" s="2" t="s">
        <v>29</v>
      </c>
      <c r="P19" s="2" t="s">
        <v>30</v>
      </c>
      <c r="Q19" s="2" t="s">
        <v>31</v>
      </c>
      <c r="R19" s="13">
        <v>44837.291666666664</v>
      </c>
      <c r="S19" s="14" t="s">
        <v>580</v>
      </c>
    </row>
    <row r="20" spans="1:19">
      <c r="A20" s="116" t="s">
        <v>581</v>
      </c>
      <c r="B20" s="116" t="s">
        <v>582</v>
      </c>
      <c r="C20" s="116" t="s">
        <v>34</v>
      </c>
      <c r="D20" s="116" t="s">
        <v>564</v>
      </c>
      <c r="E20" s="116"/>
      <c r="F20" s="116">
        <v>7.9</v>
      </c>
      <c r="G20" s="116" t="s">
        <v>583</v>
      </c>
      <c r="H20" s="116" t="s">
        <v>584</v>
      </c>
      <c r="I20" s="2" t="s">
        <v>25</v>
      </c>
      <c r="J20" s="2" t="s">
        <v>148</v>
      </c>
      <c r="K20" s="2" t="s">
        <v>27</v>
      </c>
      <c r="L20" s="3">
        <v>43273.49900462963</v>
      </c>
      <c r="M20" s="3">
        <v>44434.401296296295</v>
      </c>
      <c r="N20" s="2" t="s">
        <v>568</v>
      </c>
      <c r="O20" s="2" t="s">
        <v>29</v>
      </c>
      <c r="P20" s="2" t="s">
        <v>30</v>
      </c>
      <c r="Q20" s="2" t="s">
        <v>31</v>
      </c>
      <c r="R20" s="12">
        <v>45016.833333333336</v>
      </c>
      <c r="S20" t="s">
        <v>585</v>
      </c>
    </row>
    <row r="21" spans="1:19">
      <c r="A21" s="116" t="s">
        <v>586</v>
      </c>
      <c r="B21" s="116" t="s">
        <v>587</v>
      </c>
      <c r="C21" s="116" t="s">
        <v>34</v>
      </c>
      <c r="D21" s="116" t="s">
        <v>564</v>
      </c>
      <c r="E21" s="116"/>
      <c r="F21" s="116" t="s">
        <v>588</v>
      </c>
      <c r="G21" s="116" t="s">
        <v>589</v>
      </c>
      <c r="H21" s="116" t="s">
        <v>568</v>
      </c>
      <c r="I21" s="2" t="s">
        <v>25</v>
      </c>
      <c r="J21" s="2" t="s">
        <v>170</v>
      </c>
      <c r="K21" s="2" t="s">
        <v>27</v>
      </c>
      <c r="L21" s="3">
        <v>43273.499027777776</v>
      </c>
      <c r="M21" s="3">
        <v>44434.401296296295</v>
      </c>
      <c r="N21" s="2" t="s">
        <v>568</v>
      </c>
      <c r="O21" s="2" t="s">
        <v>29</v>
      </c>
      <c r="P21" s="2" t="s">
        <v>30</v>
      </c>
      <c r="Q21" s="2" t="s">
        <v>31</v>
      </c>
      <c r="R21" s="12">
        <v>45015.833333333336</v>
      </c>
      <c r="S21" t="s">
        <v>590</v>
      </c>
    </row>
    <row r="22" spans="1:19">
      <c r="A22" s="116" t="s">
        <v>591</v>
      </c>
      <c r="B22" s="116" t="s">
        <v>592</v>
      </c>
      <c r="C22" s="116" t="s">
        <v>34</v>
      </c>
      <c r="D22" s="116" t="s">
        <v>564</v>
      </c>
      <c r="E22" s="116"/>
      <c r="F22" s="116">
        <v>7.9</v>
      </c>
      <c r="G22" s="116" t="s">
        <v>593</v>
      </c>
      <c r="H22" s="116" t="s">
        <v>190</v>
      </c>
      <c r="I22" s="2" t="s">
        <v>25</v>
      </c>
      <c r="J22" s="2" t="s">
        <v>26</v>
      </c>
      <c r="K22" s="2" t="s">
        <v>27</v>
      </c>
      <c r="L22" s="3">
        <v>43273.499050925922</v>
      </c>
      <c r="M22" s="3">
        <v>44439.254259259258</v>
      </c>
      <c r="N22" s="2" t="s">
        <v>568</v>
      </c>
      <c r="O22" s="2" t="s">
        <v>29</v>
      </c>
      <c r="P22" s="2" t="s">
        <v>30</v>
      </c>
      <c r="Q22" s="2" t="s">
        <v>31</v>
      </c>
      <c r="R22" s="12">
        <v>45023.833333333336</v>
      </c>
      <c r="S22" t="s">
        <v>594</v>
      </c>
    </row>
    <row r="23" spans="1:19">
      <c r="A23" s="116" t="s">
        <v>595</v>
      </c>
      <c r="B23" s="116" t="s">
        <v>596</v>
      </c>
      <c r="C23" s="116" t="s">
        <v>34</v>
      </c>
      <c r="D23" s="116" t="s">
        <v>564</v>
      </c>
      <c r="E23" s="116"/>
      <c r="F23" s="116">
        <v>7.9</v>
      </c>
      <c r="G23" s="116" t="s">
        <v>597</v>
      </c>
      <c r="H23" s="116" t="s">
        <v>190</v>
      </c>
      <c r="I23" s="2" t="s">
        <v>25</v>
      </c>
      <c r="J23" s="2" t="s">
        <v>26</v>
      </c>
      <c r="K23" s="2" t="s">
        <v>27</v>
      </c>
      <c r="L23" s="3">
        <v>43273.49900462963</v>
      </c>
      <c r="M23" s="3">
        <v>44439.256354166668</v>
      </c>
      <c r="N23" s="2" t="s">
        <v>568</v>
      </c>
      <c r="O23" s="2" t="s">
        <v>29</v>
      </c>
      <c r="P23" s="2" t="s">
        <v>30</v>
      </c>
      <c r="Q23" s="2" t="s">
        <v>31</v>
      </c>
      <c r="R23" s="12">
        <v>45023.833333333336</v>
      </c>
      <c r="S23" t="s">
        <v>594</v>
      </c>
    </row>
    <row r="24" spans="1:19">
      <c r="A24" s="116" t="s">
        <v>598</v>
      </c>
      <c r="B24" s="116" t="s">
        <v>599</v>
      </c>
      <c r="C24" s="116" t="s">
        <v>34</v>
      </c>
      <c r="D24" s="116" t="s">
        <v>564</v>
      </c>
      <c r="E24" s="116"/>
      <c r="F24" s="116">
        <v>7.9</v>
      </c>
      <c r="G24" s="116" t="s">
        <v>597</v>
      </c>
      <c r="H24" s="116" t="s">
        <v>190</v>
      </c>
      <c r="I24" s="2" t="s">
        <v>25</v>
      </c>
      <c r="J24" s="2" t="s">
        <v>26</v>
      </c>
      <c r="K24" s="2" t="s">
        <v>27</v>
      </c>
      <c r="L24" s="3">
        <v>43273.49900462963</v>
      </c>
      <c r="M24" s="3">
        <v>44439.256354166668</v>
      </c>
      <c r="N24" s="2" t="s">
        <v>568</v>
      </c>
      <c r="O24" s="2" t="s">
        <v>29</v>
      </c>
      <c r="P24" s="2" t="s">
        <v>30</v>
      </c>
      <c r="Q24" s="2" t="s">
        <v>31</v>
      </c>
      <c r="R24" s="12">
        <v>45023.833333333336</v>
      </c>
      <c r="S24" t="s">
        <v>594</v>
      </c>
    </row>
    <row r="25" spans="1:19">
      <c r="A25" s="117" t="s">
        <v>600</v>
      </c>
      <c r="B25" s="94" t="s">
        <v>601</v>
      </c>
      <c r="C25" s="116" t="s">
        <v>34</v>
      </c>
      <c r="D25" s="116" t="s">
        <v>564</v>
      </c>
      <c r="E25" s="94"/>
      <c r="F25" s="117">
        <v>6.9</v>
      </c>
      <c r="G25" s="117" t="s">
        <v>602</v>
      </c>
      <c r="H25" s="117" t="s">
        <v>603</v>
      </c>
      <c r="I25" s="2" t="s">
        <v>25</v>
      </c>
      <c r="J25" s="2" t="s">
        <v>26</v>
      </c>
      <c r="K25" s="2" t="s">
        <v>27</v>
      </c>
      <c r="L25" s="3">
        <v>43273.49900462963</v>
      </c>
      <c r="M25" s="3">
        <v>44439.256354166668</v>
      </c>
      <c r="N25" s="2" t="s">
        <v>568</v>
      </c>
      <c r="O25" s="2" t="s">
        <v>29</v>
      </c>
      <c r="P25" s="2" t="s">
        <v>30</v>
      </c>
      <c r="Q25" s="2" t="s">
        <v>31</v>
      </c>
      <c r="R25" s="12">
        <v>45057.833333333336</v>
      </c>
      <c r="S25" t="s">
        <v>604</v>
      </c>
    </row>
    <row r="26" spans="1:19">
      <c r="A26" s="116" t="s">
        <v>605</v>
      </c>
      <c r="B26" s="116" t="s">
        <v>606</v>
      </c>
      <c r="C26" s="116" t="s">
        <v>34</v>
      </c>
      <c r="D26" s="116" t="s">
        <v>564</v>
      </c>
      <c r="E26" s="94"/>
      <c r="F26" s="116">
        <v>7.9</v>
      </c>
      <c r="G26" s="116" t="s">
        <v>607</v>
      </c>
      <c r="H26" s="116" t="s">
        <v>608</v>
      </c>
      <c r="I26" s="15" t="s">
        <v>25</v>
      </c>
      <c r="J26" s="15" t="s">
        <v>26</v>
      </c>
      <c r="K26" s="15" t="s">
        <v>27</v>
      </c>
      <c r="L26" s="17">
        <v>44118.220150462963</v>
      </c>
      <c r="M26" s="17">
        <v>44434.401296296295</v>
      </c>
      <c r="N26" s="15" t="s">
        <v>568</v>
      </c>
      <c r="O26" s="15" t="s">
        <v>29</v>
      </c>
      <c r="P26" s="15" t="s">
        <v>30</v>
      </c>
      <c r="Q26" s="15" t="s">
        <v>31</v>
      </c>
      <c r="R26" s="16"/>
      <c r="S26" s="16"/>
    </row>
    <row r="27" spans="1:19">
      <c r="A27" s="4" t="s">
        <v>609</v>
      </c>
      <c r="B27" s="116" t="s">
        <v>610</v>
      </c>
      <c r="C27" s="116" t="s">
        <v>34</v>
      </c>
      <c r="D27" s="116" t="s">
        <v>564</v>
      </c>
      <c r="E27" s="116"/>
      <c r="F27" s="116">
        <v>8.5</v>
      </c>
      <c r="G27" s="116" t="s">
        <v>76</v>
      </c>
      <c r="H27" s="116" t="s">
        <v>77</v>
      </c>
      <c r="I27" s="2" t="s">
        <v>25</v>
      </c>
      <c r="J27" s="2" t="s">
        <v>26</v>
      </c>
      <c r="K27" s="15" t="s">
        <v>27</v>
      </c>
      <c r="L27" s="17">
        <v>44118.220150462963</v>
      </c>
      <c r="M27" s="17">
        <v>44434.401296296295</v>
      </c>
      <c r="N27" s="15" t="s">
        <v>568</v>
      </c>
      <c r="O27" s="15" t="s">
        <v>29</v>
      </c>
      <c r="P27" s="15" t="s">
        <v>30</v>
      </c>
      <c r="Q27" s="15" t="s">
        <v>31</v>
      </c>
      <c r="R27" s="12">
        <v>45186.083333333336</v>
      </c>
      <c r="S27" t="s">
        <v>611</v>
      </c>
    </row>
    <row r="28" spans="1:19">
      <c r="A28" s="118" t="s">
        <v>612</v>
      </c>
      <c r="B28" s="119" t="s">
        <v>285</v>
      </c>
      <c r="C28" s="120" t="s">
        <v>34</v>
      </c>
      <c r="D28" s="116" t="s">
        <v>564</v>
      </c>
      <c r="E28" s="94"/>
      <c r="F28" s="120">
        <v>8.8000000000000007</v>
      </c>
      <c r="G28" s="119" t="s">
        <v>613</v>
      </c>
      <c r="H28" s="119" t="s">
        <v>190</v>
      </c>
      <c r="I28" s="6" t="s">
        <v>25</v>
      </c>
      <c r="J28" s="5" t="s">
        <v>26</v>
      </c>
    </row>
    <row r="29" spans="1:19">
      <c r="A29" s="4" t="s">
        <v>614</v>
      </c>
      <c r="B29" s="116" t="s">
        <v>615</v>
      </c>
      <c r="C29" s="121" t="s">
        <v>34</v>
      </c>
      <c r="D29" s="116" t="s">
        <v>564</v>
      </c>
      <c r="E29" s="121"/>
      <c r="F29" s="121">
        <v>8.6</v>
      </c>
      <c r="G29" s="121" t="s">
        <v>198</v>
      </c>
      <c r="H29" s="117" t="s">
        <v>616</v>
      </c>
      <c r="I29" s="6" t="s">
        <v>617</v>
      </c>
      <c r="J29" s="6" t="s">
        <v>26</v>
      </c>
    </row>
    <row r="30" spans="1:19">
      <c r="A30" s="4" t="s">
        <v>618</v>
      </c>
      <c r="B30" s="116" t="s">
        <v>619</v>
      </c>
      <c r="C30" s="121" t="s">
        <v>34</v>
      </c>
      <c r="D30" s="116" t="s">
        <v>564</v>
      </c>
      <c r="E30" s="121"/>
      <c r="F30" s="121">
        <v>8.5</v>
      </c>
      <c r="G30" s="121" t="s">
        <v>198</v>
      </c>
      <c r="H30" s="94"/>
      <c r="K30" s="1" t="s">
        <v>11</v>
      </c>
      <c r="L30" s="1" t="s">
        <v>12</v>
      </c>
      <c r="M30" s="1" t="s">
        <v>13</v>
      </c>
      <c r="N30" s="1" t="s">
        <v>14</v>
      </c>
      <c r="O30" s="1" t="s">
        <v>15</v>
      </c>
      <c r="P30" s="1" t="s">
        <v>16</v>
      </c>
      <c r="Q30" s="1" t="s">
        <v>17</v>
      </c>
    </row>
    <row r="31" spans="1:19">
      <c r="A31" s="120" t="s">
        <v>620</v>
      </c>
      <c r="B31" s="122" t="s">
        <v>621</v>
      </c>
      <c r="C31" s="119" t="s">
        <v>34</v>
      </c>
      <c r="D31" s="117" t="s">
        <v>564</v>
      </c>
      <c r="E31" s="94"/>
      <c r="F31" s="119">
        <v>9.3000000000000007</v>
      </c>
      <c r="G31" s="119" t="s">
        <v>622</v>
      </c>
      <c r="H31" s="119" t="s">
        <v>190</v>
      </c>
      <c r="I31" s="6" t="s">
        <v>623</v>
      </c>
      <c r="J31" s="5" t="s">
        <v>26</v>
      </c>
      <c r="K31" s="18" t="s">
        <v>27</v>
      </c>
      <c r="L31" s="19">
        <v>44770.552083333336</v>
      </c>
      <c r="M31" s="19">
        <v>44770.552083333336</v>
      </c>
      <c r="N31" s="18" t="s">
        <v>568</v>
      </c>
      <c r="O31" s="18" t="s">
        <v>29</v>
      </c>
      <c r="P31" s="18" t="s">
        <v>30</v>
      </c>
      <c r="Q31" s="18" t="s">
        <v>31</v>
      </c>
    </row>
    <row r="32" spans="1:19">
      <c r="A32" s="4" t="s">
        <v>624</v>
      </c>
      <c r="B32" s="116" t="s">
        <v>625</v>
      </c>
      <c r="C32" s="116" t="s">
        <v>34</v>
      </c>
      <c r="D32" s="117" t="s">
        <v>564</v>
      </c>
      <c r="E32" s="116"/>
      <c r="F32" s="116">
        <v>7.9</v>
      </c>
      <c r="G32" s="116" t="s">
        <v>189</v>
      </c>
      <c r="H32" s="119" t="s">
        <v>190</v>
      </c>
      <c r="I32" s="2" t="s">
        <v>623</v>
      </c>
      <c r="J32" s="2" t="s">
        <v>26</v>
      </c>
      <c r="K32" s="18" t="s">
        <v>27</v>
      </c>
      <c r="L32" s="19">
        <v>44770.552083333336</v>
      </c>
      <c r="M32" s="19">
        <v>44770.552083333336</v>
      </c>
      <c r="N32" s="18" t="s">
        <v>568</v>
      </c>
      <c r="O32" s="18" t="s">
        <v>29</v>
      </c>
      <c r="P32" s="18" t="s">
        <v>30</v>
      </c>
      <c r="Q32" s="18" t="s">
        <v>31</v>
      </c>
    </row>
    <row r="33" spans="1:17">
      <c r="A33" s="4" t="s">
        <v>626</v>
      </c>
      <c r="B33" s="116" t="s">
        <v>265</v>
      </c>
      <c r="C33" s="116" t="s">
        <v>34</v>
      </c>
      <c r="D33" s="117" t="s">
        <v>564</v>
      </c>
      <c r="E33" s="116"/>
      <c r="F33" s="116">
        <v>7.9</v>
      </c>
      <c r="G33" s="116" t="s">
        <v>189</v>
      </c>
      <c r="H33" s="119" t="s">
        <v>190</v>
      </c>
      <c r="I33" s="2" t="s">
        <v>623</v>
      </c>
      <c r="J33" s="2" t="s">
        <v>26</v>
      </c>
      <c r="K33" s="18" t="s">
        <v>27</v>
      </c>
      <c r="L33" s="19">
        <v>44770.552083333336</v>
      </c>
      <c r="M33" s="19">
        <v>44770.552083333336</v>
      </c>
      <c r="N33" s="18" t="s">
        <v>568</v>
      </c>
      <c r="O33" s="18" t="s">
        <v>29</v>
      </c>
      <c r="P33" s="18" t="s">
        <v>30</v>
      </c>
      <c r="Q33" s="18" t="s">
        <v>31</v>
      </c>
    </row>
    <row r="34" spans="1:17">
      <c r="A34" s="4" t="s">
        <v>627</v>
      </c>
      <c r="B34" s="116" t="s">
        <v>628</v>
      </c>
      <c r="C34" s="116" t="s">
        <v>34</v>
      </c>
      <c r="D34" s="117" t="s">
        <v>564</v>
      </c>
      <c r="E34" s="116"/>
      <c r="F34" s="116">
        <v>7.9</v>
      </c>
      <c r="G34" s="116" t="s">
        <v>189</v>
      </c>
      <c r="H34" s="119" t="s">
        <v>190</v>
      </c>
      <c r="I34" s="2" t="s">
        <v>623</v>
      </c>
      <c r="J34" s="2" t="s">
        <v>26</v>
      </c>
    </row>
    <row r="35" spans="1:17">
      <c r="A35" s="4" t="s">
        <v>629</v>
      </c>
      <c r="B35" s="116" t="s">
        <v>630</v>
      </c>
      <c r="C35" s="116" t="s">
        <v>34</v>
      </c>
      <c r="D35" s="117" t="s">
        <v>564</v>
      </c>
      <c r="E35" s="116"/>
      <c r="F35" s="116">
        <v>7.9</v>
      </c>
      <c r="G35" s="116" t="s">
        <v>189</v>
      </c>
      <c r="H35" s="119" t="s">
        <v>190</v>
      </c>
      <c r="I35" s="2" t="s">
        <v>623</v>
      </c>
      <c r="J35" s="2" t="s">
        <v>26</v>
      </c>
    </row>
    <row r="36" spans="1:17">
      <c r="A36" s="4" t="s">
        <v>631</v>
      </c>
      <c r="B36" s="116" t="s">
        <v>632</v>
      </c>
      <c r="C36" s="116" t="s">
        <v>34</v>
      </c>
      <c r="D36" s="117" t="s">
        <v>564</v>
      </c>
      <c r="E36" s="94"/>
      <c r="F36" s="117">
        <v>7.9</v>
      </c>
      <c r="G36" s="117" t="s">
        <v>633</v>
      </c>
      <c r="H36" s="94"/>
    </row>
    <row r="37" spans="1:17">
      <c r="A37" s="4" t="s">
        <v>634</v>
      </c>
      <c r="B37" s="116" t="s">
        <v>635</v>
      </c>
      <c r="C37" s="116" t="s">
        <v>20</v>
      </c>
      <c r="D37" s="116" t="s">
        <v>564</v>
      </c>
      <c r="E37" s="116"/>
      <c r="F37" s="116">
        <v>15.6</v>
      </c>
      <c r="G37" s="116" t="s">
        <v>71</v>
      </c>
      <c r="H37" s="116" t="s">
        <v>636</v>
      </c>
      <c r="I37" s="2" t="s">
        <v>25</v>
      </c>
      <c r="J37" s="2" t="s">
        <v>43</v>
      </c>
    </row>
    <row r="38" spans="1:17">
      <c r="A38" s="31"/>
      <c r="H38" s="18"/>
      <c r="I38" s="18" t="s">
        <v>25</v>
      </c>
      <c r="J38" s="18" t="s">
        <v>26</v>
      </c>
    </row>
    <row r="39" spans="1:17">
      <c r="A39" s="7" t="s">
        <v>637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8"/>
      <c r="I39" s="18" t="s">
        <v>25</v>
      </c>
      <c r="J39" s="18" t="s">
        <v>26</v>
      </c>
    </row>
    <row r="40" spans="1:17">
      <c r="A40" s="1" t="s">
        <v>0</v>
      </c>
      <c r="B40" s="18" t="s">
        <v>638</v>
      </c>
      <c r="C40" s="18" t="s">
        <v>639</v>
      </c>
      <c r="D40" s="18" t="s">
        <v>640</v>
      </c>
      <c r="E40" s="18"/>
      <c r="F40" s="18">
        <v>8.5</v>
      </c>
      <c r="G40" s="18" t="s">
        <v>641</v>
      </c>
      <c r="H40" s="18" t="s">
        <v>642</v>
      </c>
      <c r="I40" s="18" t="s">
        <v>25</v>
      </c>
      <c r="J40" s="18" t="s">
        <v>26</v>
      </c>
    </row>
    <row r="41" spans="1:17">
      <c r="A41" s="18" t="s">
        <v>643</v>
      </c>
      <c r="B41" s="18" t="s">
        <v>644</v>
      </c>
      <c r="C41" s="18" t="s">
        <v>639</v>
      </c>
      <c r="D41" s="18" t="s">
        <v>640</v>
      </c>
      <c r="E41" s="18"/>
      <c r="F41" s="18">
        <v>8.5</v>
      </c>
      <c r="G41" s="18" t="s">
        <v>641</v>
      </c>
      <c r="H41" s="18" t="s">
        <v>642</v>
      </c>
    </row>
    <row r="42" spans="1:17">
      <c r="A42" s="18" t="s">
        <v>645</v>
      </c>
      <c r="B42" s="18" t="s">
        <v>646</v>
      </c>
      <c r="C42" s="18" t="s">
        <v>639</v>
      </c>
      <c r="D42" s="18" t="s">
        <v>640</v>
      </c>
      <c r="E42" s="18"/>
      <c r="F42" s="18">
        <v>8.5</v>
      </c>
      <c r="G42" s="18" t="s">
        <v>641</v>
      </c>
      <c r="H42" s="18" t="s">
        <v>642</v>
      </c>
    </row>
    <row r="43" spans="1:17">
      <c r="A43" s="18" t="s">
        <v>647</v>
      </c>
    </row>
    <row r="44" spans="1:17">
      <c r="A44" s="5"/>
      <c r="B44" s="20" t="s">
        <v>648</v>
      </c>
      <c r="C44" t="s">
        <v>649</v>
      </c>
    </row>
    <row r="45" spans="1:17">
      <c r="A45" s="5" t="s">
        <v>650</v>
      </c>
      <c r="C45" t="s">
        <v>649</v>
      </c>
    </row>
    <row r="46" spans="1:17">
      <c r="A46" s="5" t="s">
        <v>651</v>
      </c>
    </row>
    <row r="49" spans="1:19">
      <c r="A49" s="7" t="s">
        <v>652</v>
      </c>
    </row>
    <row r="50" spans="1:19">
      <c r="B50" s="22" t="s">
        <v>599</v>
      </c>
      <c r="C50" s="2" t="s">
        <v>34</v>
      </c>
      <c r="D50" t="s">
        <v>653</v>
      </c>
      <c r="F50">
        <v>7.9</v>
      </c>
    </row>
    <row r="51" spans="1:19">
      <c r="A51" s="21" t="s">
        <v>598</v>
      </c>
    </row>
    <row r="54" spans="1:19">
      <c r="A54" s="7" t="s">
        <v>654</v>
      </c>
    </row>
    <row r="55" spans="1:19">
      <c r="B55" s="1" t="s">
        <v>1</v>
      </c>
      <c r="C55" s="1" t="s">
        <v>2</v>
      </c>
      <c r="D55" s="1" t="s">
        <v>5</v>
      </c>
      <c r="E55" s="1" t="s">
        <v>6</v>
      </c>
      <c r="F55" s="1" t="s">
        <v>7</v>
      </c>
      <c r="G55" s="1" t="s">
        <v>9</v>
      </c>
    </row>
    <row r="56" spans="1:19">
      <c r="A56" s="1" t="s">
        <v>0</v>
      </c>
      <c r="B56" s="23" t="s">
        <v>655</v>
      </c>
      <c r="C56" t="s">
        <v>639</v>
      </c>
      <c r="D56">
        <v>20.399999999999999</v>
      </c>
      <c r="E56" t="s">
        <v>656</v>
      </c>
      <c r="F56" t="s">
        <v>657</v>
      </c>
      <c r="G56" t="s">
        <v>658</v>
      </c>
    </row>
    <row r="57" spans="1:19">
      <c r="A57" t="s">
        <v>659</v>
      </c>
      <c r="B57" t="s">
        <v>660</v>
      </c>
      <c r="C57" t="s">
        <v>639</v>
      </c>
      <c r="D57">
        <v>20.399999999999999</v>
      </c>
      <c r="E57" t="s">
        <v>661</v>
      </c>
      <c r="F57" t="s">
        <v>662</v>
      </c>
      <c r="G57" t="s">
        <v>663</v>
      </c>
    </row>
    <row r="58" spans="1:19">
      <c r="A58" t="s">
        <v>664</v>
      </c>
    </row>
    <row r="63" spans="1:19">
      <c r="A63" s="32" t="s">
        <v>665</v>
      </c>
    </row>
    <row r="64" spans="1:19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1" t="s">
        <v>9</v>
      </c>
      <c r="J64" s="1" t="s">
        <v>10</v>
      </c>
      <c r="K64" s="1" t="s">
        <v>11</v>
      </c>
      <c r="L64" s="1" t="s">
        <v>12</v>
      </c>
      <c r="M64" s="1" t="s">
        <v>13</v>
      </c>
      <c r="N64" s="1" t="s">
        <v>14</v>
      </c>
      <c r="O64" s="1" t="s">
        <v>15</v>
      </c>
      <c r="P64" s="1" t="s">
        <v>16</v>
      </c>
      <c r="Q64" s="1" t="s">
        <v>17</v>
      </c>
      <c r="R64" s="8" t="s">
        <v>560</v>
      </c>
      <c r="S64" s="8" t="s">
        <v>561</v>
      </c>
    </row>
    <row r="65" spans="1:20">
      <c r="A65" s="16" t="s">
        <v>666</v>
      </c>
      <c r="B65" s="16" t="s">
        <v>667</v>
      </c>
      <c r="C65" s="33" t="s">
        <v>668</v>
      </c>
      <c r="D65" s="15" t="s">
        <v>564</v>
      </c>
      <c r="E65" s="16"/>
      <c r="F65" s="33" t="s">
        <v>668</v>
      </c>
      <c r="G65" s="34" t="s">
        <v>41</v>
      </c>
      <c r="H65" s="35" t="s">
        <v>669</v>
      </c>
      <c r="I65" s="16" t="s">
        <v>25</v>
      </c>
      <c r="J65" s="34" t="s">
        <v>43</v>
      </c>
      <c r="K65" s="15" t="s">
        <v>27</v>
      </c>
      <c r="L65" s="36">
        <v>43273.498611111114</v>
      </c>
      <c r="M65" s="37">
        <v>44439.251388888886</v>
      </c>
      <c r="N65" s="34" t="s">
        <v>28</v>
      </c>
      <c r="O65" s="15" t="s">
        <v>29</v>
      </c>
      <c r="P65" s="15" t="s">
        <v>30</v>
      </c>
      <c r="Q65" s="15" t="s">
        <v>31</v>
      </c>
      <c r="R65" s="16"/>
      <c r="S65" s="16" t="s">
        <v>670</v>
      </c>
      <c r="T65" s="16"/>
    </row>
    <row r="66" spans="1:20">
      <c r="A66" s="34" t="s">
        <v>671</v>
      </c>
      <c r="B66" s="35" t="s">
        <v>672</v>
      </c>
      <c r="C66" s="33" t="s">
        <v>668</v>
      </c>
      <c r="D66" s="15" t="s">
        <v>564</v>
      </c>
      <c r="E66" s="16"/>
      <c r="F66" s="33" t="s">
        <v>668</v>
      </c>
      <c r="G66" s="34" t="s">
        <v>41</v>
      </c>
      <c r="H66" s="35" t="s">
        <v>669</v>
      </c>
      <c r="I66" s="16" t="s">
        <v>25</v>
      </c>
      <c r="J66" s="34" t="s">
        <v>43</v>
      </c>
      <c r="K66" s="15" t="s">
        <v>27</v>
      </c>
      <c r="L66" s="38">
        <v>43273.498611111114</v>
      </c>
      <c r="M66" s="39">
        <v>44439.251388888886</v>
      </c>
      <c r="N66" s="40" t="s">
        <v>28</v>
      </c>
      <c r="O66" s="15" t="s">
        <v>29</v>
      </c>
      <c r="P66" s="15" t="s">
        <v>30</v>
      </c>
      <c r="Q66" s="15" t="s">
        <v>31</v>
      </c>
      <c r="R66" s="16"/>
      <c r="S66" s="16" t="s">
        <v>673</v>
      </c>
      <c r="T66" s="16"/>
    </row>
    <row r="67" spans="1:20">
      <c r="A67" s="34" t="s">
        <v>674</v>
      </c>
      <c r="B67" s="35" t="s">
        <v>675</v>
      </c>
      <c r="C67" s="33" t="s">
        <v>668</v>
      </c>
      <c r="D67" s="15" t="s">
        <v>564</v>
      </c>
      <c r="E67" s="16"/>
      <c r="F67" s="33" t="s">
        <v>668</v>
      </c>
      <c r="G67" s="34" t="s">
        <v>676</v>
      </c>
      <c r="H67" s="35" t="s">
        <v>677</v>
      </c>
      <c r="I67" s="16" t="s">
        <v>25</v>
      </c>
      <c r="J67" s="34" t="s">
        <v>43</v>
      </c>
      <c r="K67" s="15" t="s">
        <v>27</v>
      </c>
      <c r="L67" s="38">
        <v>43616.31527777778</v>
      </c>
      <c r="M67" s="39">
        <v>44434.400694444441</v>
      </c>
      <c r="N67" s="40" t="s">
        <v>28</v>
      </c>
      <c r="O67" s="15" t="s">
        <v>29</v>
      </c>
      <c r="P67" s="15" t="s">
        <v>30</v>
      </c>
      <c r="Q67" s="15" t="s">
        <v>31</v>
      </c>
      <c r="R67" s="16"/>
      <c r="S67" s="16" t="s">
        <v>678</v>
      </c>
      <c r="T67" s="16"/>
    </row>
    <row r="68" spans="1:20">
      <c r="A68" s="34" t="s">
        <v>679</v>
      </c>
      <c r="B68" s="35" t="s">
        <v>680</v>
      </c>
      <c r="C68" s="33" t="s">
        <v>668</v>
      </c>
      <c r="D68" s="15" t="s">
        <v>564</v>
      </c>
      <c r="E68" s="16"/>
      <c r="F68" s="33" t="s">
        <v>668</v>
      </c>
      <c r="G68" s="34" t="s">
        <v>676</v>
      </c>
      <c r="H68" s="35" t="s">
        <v>677</v>
      </c>
      <c r="I68" s="16" t="s">
        <v>25</v>
      </c>
      <c r="J68" s="34" t="s">
        <v>26</v>
      </c>
      <c r="K68" s="15" t="s">
        <v>27</v>
      </c>
      <c r="L68" s="38">
        <v>43616.31527777778</v>
      </c>
      <c r="M68" s="39">
        <v>44434.400694444441</v>
      </c>
      <c r="N68" s="40" t="s">
        <v>28</v>
      </c>
      <c r="O68" s="15" t="s">
        <v>29</v>
      </c>
      <c r="P68" s="15" t="s">
        <v>30</v>
      </c>
      <c r="Q68" s="15" t="s">
        <v>31</v>
      </c>
      <c r="R68" s="16"/>
      <c r="S68" s="16" t="s">
        <v>681</v>
      </c>
      <c r="T68" s="16"/>
    </row>
    <row r="69" spans="1:20">
      <c r="A69" s="34" t="s">
        <v>682</v>
      </c>
      <c r="B69" s="35" t="s">
        <v>683</v>
      </c>
      <c r="C69" s="33" t="s">
        <v>668</v>
      </c>
      <c r="D69" s="15" t="s">
        <v>564</v>
      </c>
      <c r="E69" s="16"/>
      <c r="F69" s="33" t="s">
        <v>668</v>
      </c>
      <c r="G69" s="34" t="s">
        <v>676</v>
      </c>
      <c r="H69" s="35" t="s">
        <v>677</v>
      </c>
      <c r="I69" s="16" t="s">
        <v>25</v>
      </c>
      <c r="J69" s="34" t="s">
        <v>148</v>
      </c>
      <c r="K69" s="15" t="s">
        <v>27</v>
      </c>
      <c r="L69" s="38">
        <v>43616.31527777778</v>
      </c>
      <c r="M69" s="39">
        <v>44434.400694444441</v>
      </c>
      <c r="N69" s="40" t="s">
        <v>28</v>
      </c>
      <c r="O69" s="15" t="s">
        <v>29</v>
      </c>
      <c r="P69" s="15" t="s">
        <v>30</v>
      </c>
      <c r="Q69" s="15" t="s">
        <v>31</v>
      </c>
      <c r="R69" s="16"/>
      <c r="S69" s="16" t="s">
        <v>684</v>
      </c>
      <c r="T69" s="16"/>
    </row>
    <row r="70" spans="1:20">
      <c r="A70" s="25" t="s">
        <v>685</v>
      </c>
      <c r="B70" s="26" t="s">
        <v>686</v>
      </c>
      <c r="C70" s="26" t="s">
        <v>34</v>
      </c>
      <c r="D70" s="15" t="s">
        <v>564</v>
      </c>
      <c r="E70" s="26" t="s">
        <v>687</v>
      </c>
      <c r="F70" s="26">
        <v>8.8000000000000007</v>
      </c>
      <c r="G70" s="26" t="s">
        <v>688</v>
      </c>
      <c r="H70" s="26" t="s">
        <v>28</v>
      </c>
      <c r="I70" s="26" t="s">
        <v>24</v>
      </c>
      <c r="J70" s="26" t="s">
        <v>25</v>
      </c>
      <c r="K70" s="26" t="s">
        <v>26</v>
      </c>
      <c r="L70" s="26" t="s">
        <v>27</v>
      </c>
      <c r="M70" s="27">
        <v>43273.498611111114</v>
      </c>
      <c r="N70" s="27">
        <v>44434.400694444441</v>
      </c>
      <c r="O70" s="26" t="s">
        <v>28</v>
      </c>
      <c r="P70" s="26" t="s">
        <v>29</v>
      </c>
      <c r="Q70" s="26" t="s">
        <v>30</v>
      </c>
      <c r="R70" s="26" t="s">
        <v>31</v>
      </c>
      <c r="S70" s="24"/>
    </row>
    <row r="71" spans="1:20">
      <c r="A71" s="25" t="s">
        <v>689</v>
      </c>
      <c r="B71" s="26" t="s">
        <v>690</v>
      </c>
      <c r="C71" s="26" t="s">
        <v>34</v>
      </c>
      <c r="D71" s="15" t="s">
        <v>564</v>
      </c>
      <c r="E71" s="26" t="s">
        <v>21</v>
      </c>
      <c r="F71" s="26">
        <v>8.8000000000000007</v>
      </c>
      <c r="G71" s="26" t="s">
        <v>688</v>
      </c>
      <c r="H71" s="26" t="s">
        <v>28</v>
      </c>
      <c r="I71" s="26" t="s">
        <v>24</v>
      </c>
      <c r="J71" s="26" t="s">
        <v>25</v>
      </c>
      <c r="K71" s="26" t="s">
        <v>26</v>
      </c>
      <c r="L71" s="26" t="s">
        <v>27</v>
      </c>
      <c r="M71" s="27">
        <v>43273.498611111114</v>
      </c>
      <c r="N71" s="27">
        <v>44434.400694444441</v>
      </c>
      <c r="O71" s="26" t="s">
        <v>28</v>
      </c>
      <c r="P71" s="26" t="s">
        <v>29</v>
      </c>
      <c r="Q71" s="26" t="s">
        <v>30</v>
      </c>
      <c r="R71" s="26" t="s">
        <v>31</v>
      </c>
      <c r="S71" s="24"/>
    </row>
    <row r="72" spans="1:20">
      <c r="A72" s="25" t="s">
        <v>691</v>
      </c>
      <c r="B72" s="26" t="s">
        <v>692</v>
      </c>
      <c r="C72" s="26" t="s">
        <v>34</v>
      </c>
      <c r="D72" s="26"/>
      <c r="E72" s="26" t="s">
        <v>693</v>
      </c>
      <c r="F72" s="26">
        <v>7.9</v>
      </c>
      <c r="G72" s="26" t="s">
        <v>41</v>
      </c>
      <c r="H72" s="26" t="s">
        <v>42</v>
      </c>
      <c r="I72" s="26" t="s">
        <v>24</v>
      </c>
      <c r="J72" s="26" t="s">
        <v>115</v>
      </c>
      <c r="K72" s="26" t="s">
        <v>43</v>
      </c>
      <c r="L72" s="26" t="s">
        <v>27</v>
      </c>
      <c r="M72" s="27">
        <v>43273.498611111114</v>
      </c>
      <c r="N72" s="27">
        <v>44439.251388888886</v>
      </c>
      <c r="O72" s="26" t="s">
        <v>28</v>
      </c>
      <c r="P72" s="26" t="s">
        <v>29</v>
      </c>
      <c r="Q72" s="26" t="s">
        <v>30</v>
      </c>
      <c r="R72" s="26" t="s">
        <v>31</v>
      </c>
      <c r="S72" s="24"/>
    </row>
    <row r="74" spans="1:20">
      <c r="A74" s="57" t="s">
        <v>694</v>
      </c>
    </row>
    <row r="75" spans="1:20">
      <c r="A75" s="45" t="s">
        <v>695</v>
      </c>
      <c r="B75" s="44" t="s">
        <v>364</v>
      </c>
      <c r="C75" s="44" t="s">
        <v>375</v>
      </c>
      <c r="D75" s="44" t="s">
        <v>485</v>
      </c>
      <c r="E75" s="44" t="s">
        <v>696</v>
      </c>
      <c r="F75" s="44" t="s">
        <v>148</v>
      </c>
      <c r="G75" s="44" t="s">
        <v>488</v>
      </c>
      <c r="H75" s="44" t="s">
        <v>489</v>
      </c>
      <c r="I75" s="44" t="s">
        <v>490</v>
      </c>
      <c r="J75" s="44" t="s">
        <v>371</v>
      </c>
    </row>
    <row r="76" spans="1:20">
      <c r="A76" s="45" t="s">
        <v>697</v>
      </c>
      <c r="B76" s="44" t="s">
        <v>364</v>
      </c>
      <c r="C76" s="44" t="s">
        <v>375</v>
      </c>
      <c r="D76" s="44" t="s">
        <v>485</v>
      </c>
      <c r="E76" s="44" t="s">
        <v>487</v>
      </c>
      <c r="F76" s="44" t="s">
        <v>391</v>
      </c>
      <c r="G76" s="44" t="s">
        <v>488</v>
      </c>
      <c r="H76" s="44" t="s">
        <v>489</v>
      </c>
      <c r="I76" s="44" t="s">
        <v>490</v>
      </c>
      <c r="J76" s="44" t="s">
        <v>371</v>
      </c>
    </row>
    <row r="77" spans="1:20">
      <c r="A77" s="43" t="s">
        <v>698</v>
      </c>
      <c r="B77" s="44" t="s">
        <v>364</v>
      </c>
      <c r="C77" s="44" t="s">
        <v>375</v>
      </c>
      <c r="D77" s="44" t="s">
        <v>376</v>
      </c>
      <c r="E77" s="44" t="s">
        <v>699</v>
      </c>
      <c r="F77" s="44" t="s">
        <v>378</v>
      </c>
      <c r="G77" s="44" t="s">
        <v>392</v>
      </c>
      <c r="H77" s="44" t="s">
        <v>393</v>
      </c>
      <c r="I77" s="44" t="s">
        <v>394</v>
      </c>
      <c r="J77" s="44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F6F1-34F9-40B1-B44B-F9EED156883B}">
  <dimension ref="A2:H13"/>
  <sheetViews>
    <sheetView topLeftCell="A5" workbookViewId="0">
      <selection activeCell="F15" sqref="F15"/>
    </sheetView>
  </sheetViews>
  <sheetFormatPr baseColWidth="10" defaultColWidth="8.83203125" defaultRowHeight="15"/>
  <cols>
    <col min="1" max="1" width="10.83203125" bestFit="1" customWidth="1"/>
    <col min="2" max="2" width="15.33203125" bestFit="1" customWidth="1"/>
    <col min="3" max="3" width="9.5" bestFit="1" customWidth="1"/>
    <col min="4" max="4" width="13.33203125" customWidth="1"/>
    <col min="5" max="5" width="11" customWidth="1"/>
    <col min="6" max="6" width="10.6640625" bestFit="1" customWidth="1"/>
    <col min="7" max="7" width="13.83203125" bestFit="1" customWidth="1"/>
    <col min="8" max="8" width="10.6640625" bestFit="1" customWidth="1"/>
    <col min="11" max="11" width="10.83203125" bestFit="1" customWidth="1"/>
    <col min="12" max="12" width="15.33203125" bestFit="1" customWidth="1"/>
    <col min="13" max="13" width="9.5" bestFit="1" customWidth="1"/>
    <col min="14" max="14" width="6.6640625" bestFit="1" customWidth="1"/>
    <col min="15" max="15" width="10.6640625" bestFit="1" customWidth="1"/>
  </cols>
  <sheetData>
    <row r="2" spans="1:8">
      <c r="B2" s="59" t="s">
        <v>2</v>
      </c>
    </row>
    <row r="3" spans="1:8">
      <c r="B3" t="s">
        <v>375</v>
      </c>
      <c r="C3" t="s">
        <v>484</v>
      </c>
      <c r="D3" t="s">
        <v>508</v>
      </c>
      <c r="E3" t="s">
        <v>525</v>
      </c>
      <c r="F3" t="s">
        <v>365</v>
      </c>
      <c r="G3" t="s">
        <v>479</v>
      </c>
      <c r="H3" t="s">
        <v>700</v>
      </c>
    </row>
    <row r="4" spans="1:8">
      <c r="A4" t="s">
        <v>701</v>
      </c>
      <c r="B4">
        <v>31</v>
      </c>
      <c r="C4">
        <v>10</v>
      </c>
      <c r="D4">
        <v>6</v>
      </c>
      <c r="E4">
        <v>2</v>
      </c>
      <c r="F4">
        <v>4</v>
      </c>
      <c r="G4">
        <v>2</v>
      </c>
      <c r="H4">
        <v>55</v>
      </c>
    </row>
    <row r="11" spans="1:8">
      <c r="B11" s="59" t="s">
        <v>702</v>
      </c>
    </row>
    <row r="12" spans="1:8">
      <c r="B12" t="s">
        <v>34</v>
      </c>
      <c r="C12" t="s">
        <v>20</v>
      </c>
      <c r="D12" t="s">
        <v>703</v>
      </c>
      <c r="E12" t="s">
        <v>327</v>
      </c>
      <c r="F12" t="s">
        <v>700</v>
      </c>
    </row>
    <row r="13" spans="1:8">
      <c r="A13" t="s">
        <v>701</v>
      </c>
      <c r="B13">
        <v>102</v>
      </c>
      <c r="C13">
        <v>3</v>
      </c>
      <c r="E13">
        <v>11</v>
      </c>
      <c r="F13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CE10-4370-4E6F-A45E-25ED0801ECD9}">
  <dimension ref="A1:J14"/>
  <sheetViews>
    <sheetView workbookViewId="0">
      <selection activeCell="H6" sqref="H6"/>
    </sheetView>
  </sheetViews>
  <sheetFormatPr baseColWidth="10" defaultColWidth="8.83203125" defaultRowHeight="15"/>
  <cols>
    <col min="3" max="3" width="26.83203125" bestFit="1" customWidth="1"/>
    <col min="4" max="4" width="15.6640625" bestFit="1" customWidth="1"/>
    <col min="5" max="5" width="16.83203125" bestFit="1" customWidth="1"/>
    <col min="6" max="6" width="15.6640625" bestFit="1" customWidth="1"/>
    <col min="7" max="7" width="16.5" bestFit="1" customWidth="1"/>
    <col min="8" max="8" width="12.1640625" bestFit="1" customWidth="1"/>
    <col min="9" max="9" width="15" bestFit="1" customWidth="1"/>
  </cols>
  <sheetData>
    <row r="1" spans="1:10">
      <c r="A1" s="61" t="s">
        <v>704</v>
      </c>
      <c r="B1" s="61" t="s">
        <v>705</v>
      </c>
      <c r="C1" s="61" t="s">
        <v>706</v>
      </c>
      <c r="D1" s="61" t="s">
        <v>707</v>
      </c>
      <c r="E1" s="61" t="s">
        <v>708</v>
      </c>
      <c r="F1" s="61" t="s">
        <v>709</v>
      </c>
      <c r="G1" s="61" t="s">
        <v>710</v>
      </c>
      <c r="H1" s="61" t="s">
        <v>711</v>
      </c>
      <c r="I1" s="61" t="s">
        <v>712</v>
      </c>
    </row>
    <row r="2" spans="1:10">
      <c r="A2" s="62" t="s">
        <v>713</v>
      </c>
      <c r="B2" s="62" t="s">
        <v>714</v>
      </c>
      <c r="C2" s="62">
        <v>7.9</v>
      </c>
      <c r="D2" s="63">
        <v>45473</v>
      </c>
      <c r="E2" s="63">
        <v>46934</v>
      </c>
      <c r="F2" s="63">
        <v>46934</v>
      </c>
      <c r="G2" s="62" t="s">
        <v>715</v>
      </c>
      <c r="H2" s="62">
        <f>COUNTIF('LINUX Inv'!F:F,'LINUX Inv'!F32)</f>
        <v>14</v>
      </c>
      <c r="I2" s="62" t="s">
        <v>716</v>
      </c>
      <c r="J2" s="64"/>
    </row>
    <row r="3" spans="1:10">
      <c r="A3" s="62" t="s">
        <v>713</v>
      </c>
      <c r="B3" s="62" t="s">
        <v>714</v>
      </c>
      <c r="C3" s="26">
        <v>8.1</v>
      </c>
      <c r="D3" s="63">
        <v>47269</v>
      </c>
      <c r="E3" s="63">
        <v>11840</v>
      </c>
      <c r="F3" s="63">
        <v>11840</v>
      </c>
      <c r="G3" s="62" t="s">
        <v>715</v>
      </c>
      <c r="H3" s="62">
        <f>COUNTIF('LINUX Inv'!S:S,'LINUX Inv'!S3)</f>
        <v>55</v>
      </c>
      <c r="I3" s="62" t="s">
        <v>716</v>
      </c>
      <c r="J3" s="64"/>
    </row>
    <row r="4" spans="1:10">
      <c r="A4" s="62" t="s">
        <v>713</v>
      </c>
      <c r="B4" s="62" t="s">
        <v>714</v>
      </c>
      <c r="C4" s="62">
        <v>9.5</v>
      </c>
      <c r="D4" s="63">
        <v>11840</v>
      </c>
      <c r="E4" s="63">
        <v>12935</v>
      </c>
      <c r="F4" s="63">
        <v>12935</v>
      </c>
      <c r="G4" s="62" t="s">
        <v>715</v>
      </c>
      <c r="H4" s="62">
        <f>COUNTIF('LINUX Inv'!S:S,'LINUX Inv'!S78)</f>
        <v>33</v>
      </c>
      <c r="I4" s="62" t="s">
        <v>716</v>
      </c>
    </row>
    <row r="5" spans="1:10">
      <c r="A5" s="62" t="s">
        <v>717</v>
      </c>
      <c r="B5" s="62" t="s">
        <v>717</v>
      </c>
      <c r="C5" s="62">
        <v>15.6</v>
      </c>
      <c r="D5" s="63">
        <v>46965</v>
      </c>
      <c r="E5" s="63">
        <v>46965</v>
      </c>
      <c r="F5" s="62" t="s">
        <v>718</v>
      </c>
      <c r="G5" s="62" t="s">
        <v>719</v>
      </c>
      <c r="H5" s="62">
        <f>COUNTIF('LINUX Inv'!S:S,'LINUX Inv'!S2)</f>
        <v>3</v>
      </c>
      <c r="I5" s="62" t="s">
        <v>720</v>
      </c>
    </row>
    <row r="6" spans="1:10">
      <c r="A6" s="62" t="s">
        <v>721</v>
      </c>
      <c r="B6" s="62" t="s">
        <v>375</v>
      </c>
      <c r="C6" s="62" t="s">
        <v>722</v>
      </c>
      <c r="D6" s="62" t="s">
        <v>718</v>
      </c>
      <c r="E6" s="62" t="s">
        <v>718</v>
      </c>
      <c r="F6" s="62" t="s">
        <v>718</v>
      </c>
      <c r="G6" s="62" t="s">
        <v>719</v>
      </c>
      <c r="H6" s="62">
        <v>41</v>
      </c>
      <c r="I6" s="62" t="s">
        <v>723</v>
      </c>
    </row>
    <row r="7" spans="1:10">
      <c r="A7" s="62" t="s">
        <v>721</v>
      </c>
      <c r="B7" s="62" t="s">
        <v>368</v>
      </c>
      <c r="C7" s="62" t="s">
        <v>366</v>
      </c>
      <c r="D7" s="63">
        <v>46112</v>
      </c>
      <c r="E7" s="62" t="s">
        <v>718</v>
      </c>
      <c r="F7" s="62" t="s">
        <v>718</v>
      </c>
      <c r="G7" s="62" t="s">
        <v>719</v>
      </c>
      <c r="H7" s="62">
        <v>6</v>
      </c>
      <c r="I7" s="62" t="s">
        <v>723</v>
      </c>
    </row>
    <row r="8" spans="1:10">
      <c r="A8" s="69" t="s">
        <v>721</v>
      </c>
      <c r="B8" s="69" t="s">
        <v>724</v>
      </c>
      <c r="C8" s="62" t="s">
        <v>362</v>
      </c>
      <c r="D8" s="69" t="s">
        <v>718</v>
      </c>
      <c r="E8" s="69" t="s">
        <v>718</v>
      </c>
      <c r="F8" s="69" t="s">
        <v>718</v>
      </c>
      <c r="G8" s="71">
        <v>46022</v>
      </c>
      <c r="H8" s="69">
        <v>2</v>
      </c>
      <c r="I8" s="69" t="s">
        <v>723</v>
      </c>
    </row>
    <row r="9" spans="1:10">
      <c r="A9" s="70"/>
      <c r="B9" s="70"/>
      <c r="C9" s="62" t="s">
        <v>455</v>
      </c>
      <c r="D9" s="70"/>
      <c r="E9" s="70"/>
      <c r="F9" s="70"/>
      <c r="G9" s="72"/>
      <c r="H9" s="70"/>
      <c r="I9" s="70"/>
    </row>
    <row r="10" spans="1:10">
      <c r="A10" s="62" t="s">
        <v>721</v>
      </c>
      <c r="B10" s="62" t="s">
        <v>725</v>
      </c>
      <c r="C10" s="62" t="s">
        <v>477</v>
      </c>
      <c r="D10" s="63">
        <v>41653</v>
      </c>
      <c r="E10" s="63">
        <v>41653</v>
      </c>
      <c r="F10" s="63">
        <v>43738</v>
      </c>
      <c r="G10" s="62" t="s">
        <v>726</v>
      </c>
      <c r="H10" s="62">
        <v>1</v>
      </c>
      <c r="I10" s="62" t="s">
        <v>727</v>
      </c>
    </row>
    <row r="11" spans="1:10">
      <c r="A11" s="60"/>
      <c r="B11" s="60"/>
      <c r="C11" s="60"/>
      <c r="D11" s="60"/>
      <c r="E11" s="60"/>
      <c r="F11" s="60"/>
      <c r="G11" s="60"/>
      <c r="H11" s="60"/>
      <c r="I11" s="60"/>
    </row>
    <row r="14" spans="1:10">
      <c r="G14">
        <v>8.8000000000000007</v>
      </c>
      <c r="H14">
        <f>TRUNC(G14,0)</f>
        <v>8</v>
      </c>
    </row>
  </sheetData>
  <mergeCells count="8">
    <mergeCell ref="H8:H9"/>
    <mergeCell ref="I8:I9"/>
    <mergeCell ref="A8:A9"/>
    <mergeCell ref="B8:B9"/>
    <mergeCell ref="D8:D9"/>
    <mergeCell ref="E8:E9"/>
    <mergeCell ref="F8:F9"/>
    <mergeCell ref="G8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97BD4D63A8741A3FC8E16D51539F9" ma:contentTypeVersion="0" ma:contentTypeDescription="Create a new document." ma:contentTypeScope="" ma:versionID="0611523f6212b27859b3635437cc4a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2F4003-DBD2-4419-8C89-220B6D016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FFC399-B125-478E-AC70-EEA89089D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EF9186-5A83-492F-896B-00B0D955A21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LINUX Inv</vt:lpstr>
      <vt:lpstr>AIX Inv</vt:lpstr>
      <vt:lpstr>Server-Appliance-Decom</vt:lpstr>
      <vt:lpstr>Pivot</vt:lpstr>
      <vt:lpstr>testing</vt:lpstr>
    </vt:vector>
  </TitlesOfParts>
  <Manager/>
  <Company>Ralph Lauren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Suresh, Konduru (AS)</dc:creator>
  <cp:keywords/>
  <dc:description/>
  <cp:lastModifiedBy>Uttam Khot</cp:lastModifiedBy>
  <cp:revision/>
  <dcterms:created xsi:type="dcterms:W3CDTF">2024-10-11T04:54:27Z</dcterms:created>
  <dcterms:modified xsi:type="dcterms:W3CDTF">2026-01-26T07:40:17Z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0x01010059897BD4D63A8741A3FC8E16D51539F9</vt:lpwstr>
  </property>
  <property fmtid="{D5CDD505-2E9C-101B-9397-08002B2CF9AE}" pid="3" name="MediaServiceImageTags">
    <vt:lpwstr/>
  </property>
</Properties>
</file>